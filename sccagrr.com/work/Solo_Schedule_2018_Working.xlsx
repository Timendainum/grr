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390" yWindow="0" windowWidth="13785" windowHeight="7080"/>
  </bookViews>
  <sheets>
    <sheet name="2018 Working Schedule" sheetId="11" r:id="rId1"/>
    <sheet name="2018_Calendar" sheetId="10" r:id="rId2"/>
    <sheet name="2017_Schedule_" sheetId="7" r:id="rId3"/>
    <sheet name="2017_Schedule" sheetId="9" r:id="rId4"/>
    <sheet name="2017 Working Schedule" sheetId="6" r:id="rId5"/>
    <sheet name="2016 Schedule" sheetId="1" r:id="rId6"/>
    <sheet name="Working 2016 Schedule" sheetId="2" r:id="rId7"/>
    <sheet name="2015 Schedule" sheetId="3" r:id="rId8"/>
    <sheet name="2014 Schedule" sheetId="4" r:id="rId9"/>
    <sheet name="Sheet1" sheetId="5" r:id="rId10"/>
  </sheets>
  <definedNames>
    <definedName name="_xlnm.Print_Area" localSheetId="5">'2016 Schedule'!$B$1:$N$16</definedName>
    <definedName name="_xlnm.Print_Area" localSheetId="4">'2017 Working Schedule'!$A$1:$U$31</definedName>
    <definedName name="_xlnm.Print_Area" localSheetId="3">'2017_Schedule'!$A$3:$N$23</definedName>
    <definedName name="_xlnm.Print_Area" localSheetId="2">'2017_Schedule_'!$A$1:$S$23</definedName>
    <definedName name="_xlnm.Print_Area" localSheetId="0">'2018 Working Schedule'!$A$1:$Q$35</definedName>
    <definedName name="_xlnm.Print_Area" localSheetId="1">'2018_Calendar'!$A$107:$O$136</definedName>
  </definedNames>
  <calcPr calcId="125725"/>
  <fileRecoveryPr repairLoad="1"/>
</workbook>
</file>

<file path=xl/calcChain.xml><?xml version="1.0" encoding="utf-8"?>
<calcChain xmlns="http://schemas.openxmlformats.org/spreadsheetml/2006/main">
  <c r="A7" i="11"/>
  <c r="A8"/>
  <c r="A9"/>
  <c r="A10"/>
  <c r="A11"/>
  <c r="A12"/>
  <c r="A14"/>
  <c r="A15"/>
  <c r="A16"/>
  <c r="A6" l="1"/>
  <c r="E1" i="10"/>
  <c r="D1" s="1"/>
  <c r="C1" s="1"/>
  <c r="B1" s="1"/>
  <c r="A1" s="1"/>
  <c r="G1"/>
  <c r="A2" s="1"/>
  <c r="B2" s="1"/>
  <c r="C2" s="1"/>
  <c r="D2" s="1"/>
  <c r="E2" s="1"/>
  <c r="F2" s="1"/>
  <c r="G2" s="1"/>
  <c r="A3" s="1"/>
  <c r="B3" s="1"/>
  <c r="C3" s="1"/>
  <c r="D3" s="1"/>
  <c r="E3" s="1"/>
  <c r="F3" s="1"/>
  <c r="G3" s="1"/>
  <c r="A4" s="1"/>
  <c r="B4" s="1"/>
  <c r="C4" s="1"/>
  <c r="D4" s="1"/>
  <c r="E4" s="1"/>
  <c r="F4" s="1"/>
  <c r="G4" s="1"/>
  <c r="A5" s="1"/>
  <c r="B5" s="1"/>
  <c r="C5" s="1"/>
  <c r="D5" s="1"/>
  <c r="E5" s="1"/>
  <c r="F5" s="1"/>
  <c r="G5" s="1"/>
  <c r="A6" s="1"/>
  <c r="B6" s="1"/>
  <c r="C6" s="1"/>
  <c r="D6" s="1"/>
  <c r="E6" s="1"/>
  <c r="F6" s="1"/>
  <c r="G6" s="1"/>
  <c r="A7" s="1"/>
  <c r="B7" s="1"/>
  <c r="C7" s="1"/>
  <c r="D7" s="1"/>
  <c r="E7" s="1"/>
  <c r="F7" s="1"/>
  <c r="G7" s="1"/>
  <c r="A8" s="1"/>
  <c r="B8" s="1"/>
  <c r="C8" s="1"/>
  <c r="D8" s="1"/>
  <c r="E8" s="1"/>
  <c r="F8" s="1"/>
  <c r="G8" s="1"/>
  <c r="A9" s="1"/>
  <c r="B9" s="1"/>
  <c r="C9" s="1"/>
  <c r="D9" s="1"/>
  <c r="E9" s="1"/>
  <c r="F9" s="1"/>
  <c r="G9" s="1"/>
  <c r="A10" s="1"/>
  <c r="B10" s="1"/>
  <c r="C10" s="1"/>
  <c r="D10" s="1"/>
  <c r="E10" s="1"/>
  <c r="F10" s="1"/>
  <c r="G10" s="1"/>
  <c r="A11" s="1"/>
  <c r="B11" s="1"/>
  <c r="C11" s="1"/>
  <c r="D11" s="1"/>
  <c r="E11" s="1"/>
  <c r="F11" s="1"/>
  <c r="G11" s="1"/>
  <c r="A12" s="1"/>
  <c r="B12" s="1"/>
  <c r="C12" s="1"/>
  <c r="D12" s="1"/>
  <c r="E12" s="1"/>
  <c r="F12" s="1"/>
  <c r="G12" s="1"/>
  <c r="A13" s="1"/>
  <c r="B13" s="1"/>
  <c r="C13" s="1"/>
  <c r="D13" s="1"/>
  <c r="E13" s="1"/>
  <c r="F13" s="1"/>
  <c r="G13" s="1"/>
  <c r="A14" s="1"/>
  <c r="B14" s="1"/>
  <c r="C14" s="1"/>
  <c r="D14" s="1"/>
  <c r="E14" s="1"/>
  <c r="F14" s="1"/>
  <c r="G14" s="1"/>
  <c r="A15" s="1"/>
  <c r="B15" s="1"/>
  <c r="C15" s="1"/>
  <c r="D15" s="1"/>
  <c r="E15" s="1"/>
  <c r="F15" s="1"/>
  <c r="G15" s="1"/>
  <c r="A16" s="1"/>
  <c r="B16" s="1"/>
  <c r="C16" s="1"/>
  <c r="D16" s="1"/>
  <c r="E16" s="1"/>
  <c r="F16" s="1"/>
  <c r="G16" s="1"/>
  <c r="A17" s="1"/>
  <c r="B17" s="1"/>
  <c r="C17" s="1"/>
  <c r="D17" s="1"/>
  <c r="E17" s="1"/>
  <c r="F17" s="1"/>
  <c r="G17" s="1"/>
  <c r="A18" s="1"/>
  <c r="B18" s="1"/>
  <c r="C18" s="1"/>
  <c r="D18" s="1"/>
  <c r="E18" s="1"/>
  <c r="F18" s="1"/>
  <c r="G18" s="1"/>
  <c r="A19" s="1"/>
  <c r="B19" s="1"/>
  <c r="C19" s="1"/>
  <c r="D19" s="1"/>
  <c r="E19" s="1"/>
  <c r="F19" s="1"/>
  <c r="G19" s="1"/>
  <c r="A20" s="1"/>
  <c r="B20" s="1"/>
  <c r="C20" s="1"/>
  <c r="D20" s="1"/>
  <c r="E20" s="1"/>
  <c r="F20" s="1"/>
  <c r="G20" s="1"/>
  <c r="A21" s="1"/>
  <c r="B21" s="1"/>
  <c r="C21" s="1"/>
  <c r="D21" s="1"/>
  <c r="E21" s="1"/>
  <c r="F21" s="1"/>
  <c r="G21" s="1"/>
  <c r="A22" s="1"/>
  <c r="B22" s="1"/>
  <c r="C22" s="1"/>
  <c r="D22" s="1"/>
  <c r="E22" s="1"/>
  <c r="F22" s="1"/>
  <c r="G22" s="1"/>
  <c r="A23" s="1"/>
  <c r="B23" s="1"/>
  <c r="C23" s="1"/>
  <c r="D23" s="1"/>
  <c r="E23" s="1"/>
  <c r="F23" s="1"/>
  <c r="G23" s="1"/>
  <c r="A24" s="1"/>
  <c r="B24" s="1"/>
  <c r="C24" s="1"/>
  <c r="D24" s="1"/>
  <c r="E24" s="1"/>
  <c r="F24" s="1"/>
  <c r="G24" s="1"/>
  <c r="A25" s="1"/>
  <c r="B25" s="1"/>
  <c r="C25" s="1"/>
  <c r="D25" s="1"/>
  <c r="E25" s="1"/>
  <c r="F25" s="1"/>
  <c r="G25" s="1"/>
  <c r="A26" s="1"/>
  <c r="B26" s="1"/>
  <c r="C26" s="1"/>
  <c r="D26" s="1"/>
  <c r="E26" s="1"/>
  <c r="F26" s="1"/>
  <c r="G26" s="1"/>
  <c r="A27" s="1"/>
  <c r="B27" s="1"/>
  <c r="C27" s="1"/>
  <c r="D27" s="1"/>
  <c r="E27" s="1"/>
  <c r="F27" s="1"/>
  <c r="G27" s="1"/>
  <c r="A28" s="1"/>
  <c r="B28" s="1"/>
  <c r="C28" s="1"/>
  <c r="D28" s="1"/>
  <c r="E28" s="1"/>
  <c r="F28" s="1"/>
  <c r="G28" s="1"/>
  <c r="A29" s="1"/>
  <c r="B29" s="1"/>
  <c r="C29" s="1"/>
  <c r="D29" s="1"/>
  <c r="E29" s="1"/>
  <c r="F29" s="1"/>
  <c r="G29" s="1"/>
  <c r="A30" s="1"/>
  <c r="B30" s="1"/>
  <c r="C30" s="1"/>
  <c r="D30" s="1"/>
  <c r="E30" s="1"/>
  <c r="F30" s="1"/>
  <c r="G30" s="1"/>
  <c r="A31" s="1"/>
  <c r="B31" s="1"/>
  <c r="C31" s="1"/>
  <c r="D31" s="1"/>
  <c r="E31" s="1"/>
  <c r="F31" s="1"/>
  <c r="G31" s="1"/>
  <c r="A32" s="1"/>
  <c r="B32" s="1"/>
  <c r="C32" s="1"/>
  <c r="D32" s="1"/>
  <c r="E32" s="1"/>
  <c r="F32" s="1"/>
  <c r="G32" s="1"/>
  <c r="A33" s="1"/>
  <c r="B33" s="1"/>
  <c r="C33" s="1"/>
  <c r="D33" s="1"/>
  <c r="E33" s="1"/>
  <c r="F33" s="1"/>
  <c r="G33" s="1"/>
  <c r="A34" s="1"/>
  <c r="B34" s="1"/>
  <c r="C34" s="1"/>
  <c r="D34" s="1"/>
  <c r="E34" s="1"/>
  <c r="F34" s="1"/>
  <c r="G34" s="1"/>
  <c r="A35" s="1"/>
  <c r="B35" s="1"/>
  <c r="C35" s="1"/>
  <c r="D35" s="1"/>
  <c r="E35" s="1"/>
  <c r="F35" s="1"/>
  <c r="G35" s="1"/>
  <c r="A36" s="1"/>
  <c r="B36" s="1"/>
  <c r="C36" s="1"/>
  <c r="D36" s="1"/>
  <c r="E36" s="1"/>
  <c r="F36" s="1"/>
  <c r="G36" s="1"/>
  <c r="A37" s="1"/>
  <c r="B37" s="1"/>
  <c r="C37" s="1"/>
  <c r="D37" s="1"/>
  <c r="E37" s="1"/>
  <c r="F37" s="1"/>
  <c r="G37" s="1"/>
  <c r="A38" s="1"/>
  <c r="B38" s="1"/>
  <c r="C38" s="1"/>
  <c r="D38" s="1"/>
  <c r="E38" s="1"/>
  <c r="F38" s="1"/>
  <c r="G38" s="1"/>
  <c r="A39" s="1"/>
  <c r="B39" s="1"/>
  <c r="C39" s="1"/>
  <c r="D39" s="1"/>
  <c r="E39" s="1"/>
  <c r="F39" s="1"/>
  <c r="G39" s="1"/>
  <c r="A40" s="1"/>
  <c r="B40" s="1"/>
  <c r="C40" s="1"/>
  <c r="D40" s="1"/>
  <c r="E40" s="1"/>
  <c r="F40" s="1"/>
  <c r="G40" s="1"/>
  <c r="A41" s="1"/>
  <c r="B41" s="1"/>
  <c r="C41" s="1"/>
  <c r="D41" s="1"/>
  <c r="E41" s="1"/>
  <c r="F41" s="1"/>
  <c r="G41" s="1"/>
  <c r="A42" s="1"/>
  <c r="B42" s="1"/>
  <c r="C42" s="1"/>
  <c r="D42" s="1"/>
  <c r="E42" s="1"/>
  <c r="F42" s="1"/>
  <c r="G42" s="1"/>
  <c r="A43" s="1"/>
  <c r="B43" s="1"/>
  <c r="C43" s="1"/>
  <c r="D43" s="1"/>
  <c r="E43" s="1"/>
  <c r="F43" s="1"/>
  <c r="G43" s="1"/>
  <c r="A44" s="1"/>
  <c r="B44" s="1"/>
  <c r="C44" s="1"/>
  <c r="D44" s="1"/>
  <c r="E44" s="1"/>
  <c r="F44" s="1"/>
  <c r="G44" s="1"/>
  <c r="A45" s="1"/>
  <c r="B45" s="1"/>
  <c r="C45" s="1"/>
  <c r="D45" s="1"/>
  <c r="E45" s="1"/>
  <c r="F45" s="1"/>
  <c r="G45" s="1"/>
  <c r="A46" s="1"/>
  <c r="B46" s="1"/>
  <c r="C46" s="1"/>
  <c r="D46" s="1"/>
  <c r="E46" s="1"/>
  <c r="F46" s="1"/>
  <c r="G46" s="1"/>
  <c r="A47" s="1"/>
  <c r="B47" s="1"/>
  <c r="C47" s="1"/>
  <c r="D47" s="1"/>
  <c r="E47" s="1"/>
  <c r="F47" s="1"/>
  <c r="G47" s="1"/>
  <c r="A48" s="1"/>
  <c r="B48" s="1"/>
  <c r="C48" s="1"/>
  <c r="D48" s="1"/>
  <c r="E48" s="1"/>
  <c r="F48" s="1"/>
  <c r="G48" s="1"/>
  <c r="A49" s="1"/>
  <c r="B49" s="1"/>
  <c r="C49" s="1"/>
  <c r="D49" s="1"/>
  <c r="E49" s="1"/>
  <c r="F49" s="1"/>
  <c r="G49" s="1"/>
  <c r="A50" s="1"/>
  <c r="B50" s="1"/>
  <c r="C50" s="1"/>
  <c r="D50" s="1"/>
  <c r="E50" s="1"/>
  <c r="F50" s="1"/>
  <c r="G50" s="1"/>
  <c r="A51" s="1"/>
  <c r="B51" s="1"/>
  <c r="C51" s="1"/>
  <c r="D51" s="1"/>
  <c r="E51" s="1"/>
  <c r="F51" s="1"/>
  <c r="G51" s="1"/>
  <c r="A52" s="1"/>
  <c r="B52" s="1"/>
  <c r="C52" s="1"/>
  <c r="D52" s="1"/>
  <c r="E52" s="1"/>
  <c r="F52" s="1"/>
  <c r="G52" s="1"/>
  <c r="A53" s="1"/>
  <c r="B53" s="1"/>
  <c r="C53" s="1"/>
  <c r="D53" s="1"/>
  <c r="E53" s="1"/>
  <c r="F53" s="1"/>
  <c r="G53" s="1"/>
  <c r="A54" s="1"/>
  <c r="B54" s="1"/>
  <c r="C54" s="1"/>
  <c r="D54" s="1"/>
  <c r="E54" s="1"/>
  <c r="F54" s="1"/>
  <c r="G54" s="1"/>
  <c r="A55" s="1"/>
  <c r="B55" s="1"/>
  <c r="C55" s="1"/>
  <c r="D55" s="1"/>
  <c r="E55" s="1"/>
  <c r="F55" s="1"/>
  <c r="G55" s="1"/>
  <c r="A56" s="1"/>
  <c r="B56" s="1"/>
  <c r="C56" s="1"/>
  <c r="D56" s="1"/>
  <c r="E56" s="1"/>
  <c r="F56" s="1"/>
  <c r="G56" s="1"/>
  <c r="A57" s="1"/>
  <c r="B57" s="1"/>
  <c r="C57" s="1"/>
  <c r="D57" s="1"/>
  <c r="E57" s="1"/>
  <c r="F57" s="1"/>
  <c r="G57" s="1"/>
  <c r="A58" s="1"/>
  <c r="B58" s="1"/>
  <c r="C58" s="1"/>
  <c r="D58" s="1"/>
  <c r="E58" s="1"/>
  <c r="F58" s="1"/>
  <c r="G58" s="1"/>
  <c r="A59" s="1"/>
  <c r="B59" s="1"/>
  <c r="C59" s="1"/>
  <c r="D59" s="1"/>
  <c r="E59" s="1"/>
  <c r="F59" s="1"/>
  <c r="G59" s="1"/>
  <c r="A60" s="1"/>
  <c r="B60" s="1"/>
  <c r="C60" s="1"/>
  <c r="D60" s="1"/>
  <c r="E60" s="1"/>
  <c r="F60" s="1"/>
  <c r="G60" s="1"/>
  <c r="A61" s="1"/>
  <c r="B61" s="1"/>
  <c r="C61" s="1"/>
  <c r="D61" s="1"/>
  <c r="E61" s="1"/>
  <c r="F61" s="1"/>
  <c r="G61" s="1"/>
  <c r="A62" s="1"/>
  <c r="B62" s="1"/>
  <c r="C62" s="1"/>
  <c r="D62" s="1"/>
  <c r="E62" s="1"/>
  <c r="F62" s="1"/>
  <c r="G62" s="1"/>
  <c r="A63" s="1"/>
  <c r="B63" s="1"/>
  <c r="C63" s="1"/>
  <c r="D63" s="1"/>
  <c r="E63" s="1"/>
  <c r="F63" s="1"/>
  <c r="G63" s="1"/>
  <c r="A64" s="1"/>
  <c r="B64" s="1"/>
  <c r="C64" s="1"/>
  <c r="D64" s="1"/>
  <c r="E64" s="1"/>
  <c r="F64" s="1"/>
  <c r="G64" s="1"/>
  <c r="A65" s="1"/>
  <c r="B65" s="1"/>
  <c r="C65" s="1"/>
  <c r="D65" s="1"/>
  <c r="E65" s="1"/>
  <c r="F65" s="1"/>
  <c r="G65" s="1"/>
  <c r="A66" s="1"/>
  <c r="B66" s="1"/>
  <c r="C66" s="1"/>
  <c r="D66" s="1"/>
  <c r="E66" s="1"/>
  <c r="F66" s="1"/>
  <c r="G66" s="1"/>
  <c r="A67" s="1"/>
  <c r="B67" s="1"/>
  <c r="C67" s="1"/>
  <c r="D67" s="1"/>
  <c r="E67" s="1"/>
  <c r="F67" s="1"/>
  <c r="G67" s="1"/>
  <c r="A68" s="1"/>
  <c r="B68" s="1"/>
  <c r="C68" s="1"/>
  <c r="D68" s="1"/>
  <c r="E68" s="1"/>
  <c r="F68" s="1"/>
  <c r="G68" s="1"/>
  <c r="A69" s="1"/>
  <c r="B69" s="1"/>
  <c r="C69" s="1"/>
  <c r="D69" s="1"/>
  <c r="E69" s="1"/>
  <c r="F69" s="1"/>
  <c r="G69" s="1"/>
  <c r="A70" s="1"/>
  <c r="B70" s="1"/>
  <c r="C70" s="1"/>
  <c r="D70" s="1"/>
  <c r="E70" s="1"/>
  <c r="F70" s="1"/>
  <c r="G70" s="1"/>
  <c r="A71" s="1"/>
  <c r="B71" s="1"/>
  <c r="C71" s="1"/>
  <c r="D71" s="1"/>
  <c r="E71" s="1"/>
  <c r="F71" s="1"/>
  <c r="G71" s="1"/>
  <c r="A72" s="1"/>
  <c r="B72" s="1"/>
  <c r="C72" s="1"/>
  <c r="D72" s="1"/>
  <c r="E72" s="1"/>
  <c r="F72" s="1"/>
  <c r="G72" s="1"/>
  <c r="A73" s="1"/>
  <c r="B73" s="1"/>
  <c r="C73" s="1"/>
  <c r="D73" s="1"/>
  <c r="E73" s="1"/>
  <c r="F73" s="1"/>
  <c r="G73" s="1"/>
  <c r="A74" s="1"/>
  <c r="B74" s="1"/>
  <c r="C74" s="1"/>
  <c r="D74" s="1"/>
  <c r="E74" s="1"/>
  <c r="F74" s="1"/>
  <c r="G74" s="1"/>
  <c r="A75" s="1"/>
  <c r="B75" s="1"/>
  <c r="C75" s="1"/>
  <c r="D75" s="1"/>
  <c r="E75" s="1"/>
  <c r="F75" s="1"/>
  <c r="G75" s="1"/>
  <c r="A76" s="1"/>
  <c r="B76" s="1"/>
  <c r="C76" s="1"/>
  <c r="D76" s="1"/>
  <c r="E76" s="1"/>
  <c r="F76" s="1"/>
  <c r="G76" s="1"/>
  <c r="A77" s="1"/>
  <c r="B77" s="1"/>
  <c r="C77" s="1"/>
  <c r="D77" s="1"/>
  <c r="E77" s="1"/>
  <c r="F77" s="1"/>
  <c r="G77" s="1"/>
  <c r="A78" s="1"/>
  <c r="B78" s="1"/>
  <c r="C78" s="1"/>
  <c r="D78" s="1"/>
  <c r="E78" s="1"/>
  <c r="F78" s="1"/>
  <c r="G78" s="1"/>
  <c r="A79" s="1"/>
  <c r="B79" s="1"/>
  <c r="C79" s="1"/>
  <c r="D79" s="1"/>
  <c r="E79" s="1"/>
  <c r="F79" s="1"/>
  <c r="G79" s="1"/>
  <c r="A80" s="1"/>
  <c r="B80" s="1"/>
  <c r="C80" s="1"/>
  <c r="D80" s="1"/>
  <c r="E80" s="1"/>
  <c r="F80" s="1"/>
  <c r="G80" s="1"/>
  <c r="A81" s="1"/>
  <c r="B81" s="1"/>
  <c r="C81" s="1"/>
  <c r="D81" s="1"/>
  <c r="E81" s="1"/>
  <c r="F81" s="1"/>
  <c r="G81" s="1"/>
  <c r="A82" s="1"/>
  <c r="B82" s="1"/>
  <c r="C82" s="1"/>
  <c r="D82" s="1"/>
  <c r="E82" s="1"/>
  <c r="F82" s="1"/>
  <c r="G82" s="1"/>
  <c r="A83" s="1"/>
  <c r="B83" s="1"/>
  <c r="C83" s="1"/>
  <c r="D83" s="1"/>
  <c r="E83" s="1"/>
  <c r="F83" s="1"/>
  <c r="G83" s="1"/>
  <c r="A84" s="1"/>
  <c r="B84" s="1"/>
  <c r="C84" s="1"/>
  <c r="D84" s="1"/>
  <c r="E84" s="1"/>
  <c r="F84" s="1"/>
  <c r="G84" s="1"/>
  <c r="A85" s="1"/>
  <c r="B85" s="1"/>
  <c r="C85" s="1"/>
  <c r="D85" s="1"/>
  <c r="E85" s="1"/>
  <c r="F85" s="1"/>
  <c r="G85" s="1"/>
  <c r="A86" s="1"/>
  <c r="B86" s="1"/>
  <c r="C86" s="1"/>
  <c r="D86" s="1"/>
  <c r="E86" s="1"/>
  <c r="F86" s="1"/>
  <c r="G86" s="1"/>
  <c r="A87" s="1"/>
  <c r="B87" s="1"/>
  <c r="C87" s="1"/>
  <c r="D87" s="1"/>
  <c r="E87" s="1"/>
  <c r="F87" s="1"/>
  <c r="G87" s="1"/>
  <c r="A88" s="1"/>
  <c r="B88" s="1"/>
  <c r="C88" s="1"/>
  <c r="D88" s="1"/>
  <c r="E88" s="1"/>
  <c r="F88" s="1"/>
  <c r="G88" s="1"/>
  <c r="A89" s="1"/>
  <c r="B89" s="1"/>
  <c r="C89" s="1"/>
  <c r="D89" s="1"/>
  <c r="E89" s="1"/>
  <c r="F89" s="1"/>
  <c r="G89" s="1"/>
  <c r="A90" s="1"/>
  <c r="B90" s="1"/>
  <c r="C90" s="1"/>
  <c r="D90" s="1"/>
  <c r="E90" s="1"/>
  <c r="F90" s="1"/>
  <c r="G90" s="1"/>
  <c r="A91" s="1"/>
  <c r="B91" s="1"/>
  <c r="C91" s="1"/>
  <c r="D91" s="1"/>
  <c r="E91" s="1"/>
  <c r="F91" s="1"/>
  <c r="G91" s="1"/>
  <c r="A92" s="1"/>
  <c r="B92" s="1"/>
  <c r="C92" s="1"/>
  <c r="D92" s="1"/>
  <c r="E92" s="1"/>
  <c r="F92" s="1"/>
  <c r="G92" s="1"/>
  <c r="A93" s="1"/>
  <c r="B93" s="1"/>
  <c r="C93" s="1"/>
  <c r="D93" s="1"/>
  <c r="E93" s="1"/>
  <c r="F93" s="1"/>
  <c r="G93" s="1"/>
  <c r="A94" s="1"/>
  <c r="B94" s="1"/>
  <c r="C94" s="1"/>
  <c r="D94" s="1"/>
  <c r="E94" s="1"/>
  <c r="F94" s="1"/>
  <c r="G94" s="1"/>
  <c r="A95" s="1"/>
  <c r="B95" s="1"/>
  <c r="C95" s="1"/>
  <c r="D95" s="1"/>
  <c r="E95" s="1"/>
  <c r="F95" s="1"/>
  <c r="G95" s="1"/>
  <c r="A96" s="1"/>
  <c r="B96" s="1"/>
  <c r="C96" s="1"/>
  <c r="D96" s="1"/>
  <c r="E96" s="1"/>
  <c r="F96" s="1"/>
  <c r="G96" s="1"/>
  <c r="A97" s="1"/>
  <c r="B97" s="1"/>
  <c r="C97" s="1"/>
  <c r="D97" s="1"/>
  <c r="E97" s="1"/>
  <c r="F97" s="1"/>
  <c r="G97" s="1"/>
  <c r="A98" s="1"/>
  <c r="B98" s="1"/>
  <c r="C98" s="1"/>
  <c r="D98" s="1"/>
  <c r="E98" s="1"/>
  <c r="F98" s="1"/>
  <c r="G98" s="1"/>
  <c r="A99" s="1"/>
  <c r="B99" s="1"/>
  <c r="C99" s="1"/>
  <c r="D99" s="1"/>
  <c r="E99" s="1"/>
  <c r="F99" s="1"/>
  <c r="G99" s="1"/>
  <c r="A100" s="1"/>
  <c r="B100" s="1"/>
  <c r="C100" s="1"/>
  <c r="D100" s="1"/>
  <c r="E100" s="1"/>
  <c r="F100" s="1"/>
  <c r="G100" s="1"/>
  <c r="A101" s="1"/>
  <c r="B101" s="1"/>
  <c r="C101" s="1"/>
  <c r="D101" s="1"/>
  <c r="E101" s="1"/>
  <c r="F101" s="1"/>
  <c r="G101" s="1"/>
  <c r="A102" s="1"/>
  <c r="B102" s="1"/>
  <c r="C102" s="1"/>
  <c r="D102" s="1"/>
  <c r="E102" s="1"/>
  <c r="F102" s="1"/>
  <c r="G102" s="1"/>
  <c r="A103" s="1"/>
  <c r="B103" s="1"/>
  <c r="C103" s="1"/>
  <c r="D103" s="1"/>
  <c r="E103" s="1"/>
  <c r="F103" s="1"/>
  <c r="G103" s="1"/>
  <c r="A104" s="1"/>
  <c r="B104" s="1"/>
  <c r="C104" s="1"/>
  <c r="D104" s="1"/>
  <c r="E104" s="1"/>
  <c r="F104" s="1"/>
  <c r="G104" s="1"/>
  <c r="A105" s="1"/>
  <c r="B105" s="1"/>
  <c r="C105" s="1"/>
  <c r="D105" s="1"/>
  <c r="E105" s="1"/>
  <c r="F105" s="1"/>
  <c r="G105" s="1"/>
  <c r="A106" s="1"/>
  <c r="B106" s="1"/>
  <c r="C106" s="1"/>
  <c r="D106" s="1"/>
  <c r="E106" s="1"/>
  <c r="F106" s="1"/>
  <c r="G106" s="1"/>
  <c r="A107" s="1"/>
  <c r="B107" s="1"/>
  <c r="C107" s="1"/>
  <c r="D107" s="1"/>
  <c r="E107" s="1"/>
  <c r="F107" s="1"/>
  <c r="G107" s="1"/>
  <c r="A108" s="1"/>
  <c r="B108" s="1"/>
  <c r="C108" s="1"/>
  <c r="D108" s="1"/>
  <c r="E108" s="1"/>
  <c r="F108" s="1"/>
  <c r="G108" s="1"/>
  <c r="A109" s="1"/>
  <c r="B109" s="1"/>
  <c r="C109" s="1"/>
  <c r="D109" s="1"/>
  <c r="E109" s="1"/>
  <c r="F109" s="1"/>
  <c r="G109" s="1"/>
  <c r="A110" s="1"/>
  <c r="B110" s="1"/>
  <c r="C110" s="1"/>
  <c r="D110" s="1"/>
  <c r="E110" s="1"/>
  <c r="F110" s="1"/>
  <c r="G110" s="1"/>
  <c r="A111" s="1"/>
  <c r="B111" s="1"/>
  <c r="C111" s="1"/>
  <c r="D111" s="1"/>
  <c r="E111" s="1"/>
  <c r="F111" s="1"/>
  <c r="G111" s="1"/>
  <c r="A112" s="1"/>
  <c r="B112" s="1"/>
  <c r="C112" s="1"/>
  <c r="D112" s="1"/>
  <c r="E112" s="1"/>
  <c r="F112" s="1"/>
  <c r="G112" s="1"/>
  <c r="A113" s="1"/>
  <c r="B113" s="1"/>
  <c r="C113" s="1"/>
  <c r="D113" s="1"/>
  <c r="E113" s="1"/>
  <c r="F113" s="1"/>
  <c r="G113" s="1"/>
  <c r="A114" s="1"/>
  <c r="B114" s="1"/>
  <c r="C114" s="1"/>
  <c r="D114" s="1"/>
  <c r="E114" s="1"/>
  <c r="F114" s="1"/>
  <c r="G114" s="1"/>
  <c r="A115" s="1"/>
  <c r="B115" s="1"/>
  <c r="C115" s="1"/>
  <c r="D115" s="1"/>
  <c r="E115" s="1"/>
  <c r="F115" s="1"/>
  <c r="G115" s="1"/>
  <c r="A116" s="1"/>
  <c r="B116" s="1"/>
  <c r="C116" s="1"/>
  <c r="D116" s="1"/>
  <c r="E116" s="1"/>
  <c r="F116" s="1"/>
  <c r="G116" s="1"/>
  <c r="A117" s="1"/>
  <c r="B117" s="1"/>
  <c r="C117" s="1"/>
  <c r="D117" s="1"/>
  <c r="E117" s="1"/>
  <c r="F117" s="1"/>
  <c r="G117" s="1"/>
  <c r="A118" s="1"/>
  <c r="B118" s="1"/>
  <c r="C118" s="1"/>
  <c r="D118" s="1"/>
  <c r="E118" s="1"/>
  <c r="F118" s="1"/>
  <c r="G118" s="1"/>
  <c r="A119" s="1"/>
  <c r="B119" s="1"/>
  <c r="C119" s="1"/>
  <c r="D119" s="1"/>
  <c r="E119" s="1"/>
  <c r="F119" s="1"/>
  <c r="G119" s="1"/>
  <c r="A120" s="1"/>
  <c r="B120" s="1"/>
  <c r="C120" s="1"/>
  <c r="D120" s="1"/>
  <c r="E120" s="1"/>
  <c r="F120" s="1"/>
  <c r="G120" s="1"/>
  <c r="A121" s="1"/>
  <c r="B121" s="1"/>
  <c r="C121" s="1"/>
  <c r="D121" s="1"/>
  <c r="E121" s="1"/>
  <c r="F121" s="1"/>
  <c r="G121" s="1"/>
  <c r="A122" s="1"/>
  <c r="B122" s="1"/>
  <c r="C122" s="1"/>
  <c r="D122" s="1"/>
  <c r="E122" s="1"/>
  <c r="F122" s="1"/>
  <c r="G122" s="1"/>
  <c r="A123" s="1"/>
  <c r="B123" s="1"/>
  <c r="C123" s="1"/>
  <c r="D123" s="1"/>
  <c r="E123" s="1"/>
  <c r="F123" s="1"/>
  <c r="G123" s="1"/>
  <c r="A124" s="1"/>
  <c r="B124" s="1"/>
  <c r="C124" s="1"/>
  <c r="D124" s="1"/>
  <c r="E124" s="1"/>
  <c r="F124" s="1"/>
  <c r="G124" s="1"/>
  <c r="A125" s="1"/>
  <c r="B125" s="1"/>
  <c r="C125" s="1"/>
  <c r="D125" s="1"/>
  <c r="E125" s="1"/>
  <c r="F125" s="1"/>
  <c r="G125" s="1"/>
  <c r="A126" s="1"/>
  <c r="B126" s="1"/>
  <c r="C126" s="1"/>
  <c r="D126" s="1"/>
  <c r="E126" s="1"/>
  <c r="F126" s="1"/>
  <c r="G126" s="1"/>
  <c r="A127" s="1"/>
  <c r="B127" s="1"/>
  <c r="C127" s="1"/>
  <c r="D127" s="1"/>
  <c r="E127" s="1"/>
  <c r="F127" s="1"/>
  <c r="G127" s="1"/>
  <c r="A128" s="1"/>
  <c r="B128" s="1"/>
  <c r="C128" s="1"/>
  <c r="D128" s="1"/>
  <c r="E128" s="1"/>
  <c r="F128" s="1"/>
  <c r="G128" s="1"/>
  <c r="A129" s="1"/>
  <c r="B129" s="1"/>
  <c r="C129" s="1"/>
  <c r="D129" s="1"/>
  <c r="E129" s="1"/>
  <c r="F129" s="1"/>
  <c r="G129" s="1"/>
  <c r="A130" s="1"/>
  <c r="B130" s="1"/>
  <c r="C130" s="1"/>
  <c r="D130" s="1"/>
  <c r="E130" s="1"/>
  <c r="F130" s="1"/>
  <c r="G130" s="1"/>
  <c r="A131" s="1"/>
  <c r="B131" s="1"/>
  <c r="C131" s="1"/>
  <c r="D131" s="1"/>
  <c r="E131" s="1"/>
  <c r="F131" s="1"/>
  <c r="G131" s="1"/>
  <c r="A132" s="1"/>
  <c r="B132" s="1"/>
  <c r="C132" s="1"/>
  <c r="D132" s="1"/>
  <c r="E132" s="1"/>
  <c r="F132" s="1"/>
  <c r="G132" s="1"/>
  <c r="A133" s="1"/>
  <c r="B133" s="1"/>
  <c r="C133" s="1"/>
  <c r="D133" s="1"/>
  <c r="E133" s="1"/>
  <c r="F133" s="1"/>
  <c r="G133" s="1"/>
  <c r="A134" s="1"/>
  <c r="B134" s="1"/>
  <c r="C134" s="1"/>
  <c r="D134" s="1"/>
  <c r="E134" s="1"/>
  <c r="F134" s="1"/>
  <c r="G134" s="1"/>
  <c r="A135" s="1"/>
  <c r="B135" s="1"/>
  <c r="C135" s="1"/>
  <c r="D135" s="1"/>
  <c r="E135" s="1"/>
  <c r="F135" s="1"/>
  <c r="G135" s="1"/>
  <c r="A136" s="1"/>
  <c r="B136" s="1"/>
  <c r="C136" s="1"/>
  <c r="D136" s="1"/>
  <c r="E136" s="1"/>
  <c r="F136" s="1"/>
  <c r="G136" s="1"/>
  <c r="A137" s="1"/>
  <c r="B137" s="1"/>
  <c r="C137" s="1"/>
  <c r="D137" s="1"/>
  <c r="E137" s="1"/>
  <c r="F137" s="1"/>
  <c r="G137" s="1"/>
  <c r="A138" s="1"/>
  <c r="B138" s="1"/>
  <c r="C138" s="1"/>
  <c r="D138" s="1"/>
  <c r="E138" s="1"/>
  <c r="F138" s="1"/>
  <c r="G138" s="1"/>
  <c r="A139" s="1"/>
  <c r="B139" s="1"/>
  <c r="C139" s="1"/>
  <c r="D139" s="1"/>
  <c r="E139" s="1"/>
  <c r="F139" s="1"/>
  <c r="G139" s="1"/>
  <c r="A140" s="1"/>
  <c r="B140" s="1"/>
  <c r="C140" s="1"/>
  <c r="D140" s="1"/>
  <c r="E140" s="1"/>
  <c r="F140" s="1"/>
  <c r="G140" s="1"/>
  <c r="A141" s="1"/>
  <c r="B141" s="1"/>
  <c r="C141" s="1"/>
  <c r="D141" s="1"/>
  <c r="E141" s="1"/>
  <c r="F141" s="1"/>
  <c r="G141" s="1"/>
  <c r="A142" s="1"/>
  <c r="B142" s="1"/>
  <c r="C142" s="1"/>
  <c r="D142" s="1"/>
  <c r="E142" s="1"/>
  <c r="F142" s="1"/>
  <c r="G142" s="1"/>
  <c r="A143" s="1"/>
  <c r="B143" s="1"/>
  <c r="C143" s="1"/>
  <c r="D143" s="1"/>
  <c r="E143" s="1"/>
  <c r="F143" s="1"/>
  <c r="G143" s="1"/>
  <c r="A144" s="1"/>
  <c r="B144" s="1"/>
  <c r="C144" s="1"/>
  <c r="D144" s="1"/>
  <c r="E144" s="1"/>
  <c r="F144" s="1"/>
  <c r="G144" s="1"/>
  <c r="A145" s="1"/>
  <c r="B145" s="1"/>
  <c r="C145" s="1"/>
  <c r="D145" s="1"/>
  <c r="E145" s="1"/>
  <c r="F145" s="1"/>
  <c r="G145" s="1"/>
  <c r="A146" s="1"/>
  <c r="B146" s="1"/>
  <c r="C146" s="1"/>
  <c r="D146" s="1"/>
  <c r="E146" s="1"/>
  <c r="F146" s="1"/>
  <c r="G146" s="1"/>
  <c r="A147" s="1"/>
  <c r="B147" s="1"/>
  <c r="C147" s="1"/>
  <c r="D147" s="1"/>
  <c r="E147" s="1"/>
  <c r="F147" s="1"/>
  <c r="G147" s="1"/>
  <c r="A148" s="1"/>
  <c r="B148" s="1"/>
  <c r="C148" s="1"/>
  <c r="D148" s="1"/>
  <c r="E148" s="1"/>
  <c r="F148" s="1"/>
  <c r="G148" s="1"/>
  <c r="A149" s="1"/>
  <c r="B149" s="1"/>
  <c r="C149" s="1"/>
  <c r="D149" s="1"/>
  <c r="E149" s="1"/>
  <c r="F149" s="1"/>
  <c r="G149" s="1"/>
  <c r="A150" s="1"/>
  <c r="B150" s="1"/>
  <c r="C150" s="1"/>
  <c r="D150" s="1"/>
  <c r="E150" s="1"/>
  <c r="F150" s="1"/>
  <c r="G150" s="1"/>
  <c r="A151" s="1"/>
  <c r="B151" s="1"/>
  <c r="C151" s="1"/>
  <c r="D151" s="1"/>
  <c r="E151" s="1"/>
  <c r="F151" s="1"/>
  <c r="G151" s="1"/>
  <c r="A152" s="1"/>
  <c r="B152" s="1"/>
  <c r="C152" s="1"/>
  <c r="D152" s="1"/>
  <c r="E152" s="1"/>
  <c r="F152" s="1"/>
  <c r="G152" s="1"/>
  <c r="A153" s="1"/>
  <c r="B153" s="1"/>
  <c r="C153" s="1"/>
  <c r="D153" s="1"/>
  <c r="E153" s="1"/>
  <c r="F153" s="1"/>
  <c r="G153" s="1"/>
  <c r="A154" s="1"/>
  <c r="B154" s="1"/>
  <c r="C154" s="1"/>
  <c r="D154" s="1"/>
  <c r="E154" s="1"/>
  <c r="F154" s="1"/>
  <c r="G154" s="1"/>
  <c r="A155" s="1"/>
  <c r="B155" s="1"/>
  <c r="C155" s="1"/>
  <c r="D155" s="1"/>
  <c r="E155" s="1"/>
  <c r="F155" s="1"/>
  <c r="G155" s="1"/>
  <c r="G17" i="9" l="1"/>
  <c r="G18"/>
  <c r="G19"/>
  <c r="G20"/>
  <c r="G21"/>
  <c r="G22"/>
  <c r="G23"/>
  <c r="G16"/>
  <c r="G24" l="1"/>
  <c r="A14" i="7"/>
  <c r="A13"/>
  <c r="A11"/>
  <c r="A10"/>
  <c r="A9"/>
  <c r="A8"/>
  <c r="A7"/>
  <c r="A5"/>
  <c r="A9" i="6" l="1"/>
  <c r="A13"/>
  <c r="A16"/>
  <c r="A19"/>
  <c r="A23"/>
  <c r="A27"/>
  <c r="A29"/>
  <c r="A6"/>
</calcChain>
</file>

<file path=xl/sharedStrings.xml><?xml version="1.0" encoding="utf-8"?>
<sst xmlns="http://schemas.openxmlformats.org/spreadsheetml/2006/main" count="1295" uniqueCount="210">
  <si>
    <t>Please do not sign up for more than 5 events in any column.</t>
  </si>
  <si>
    <t>Red: Required on the Sanction Application</t>
  </si>
  <si>
    <t>Indicates that you have signed up for the maximum</t>
  </si>
  <si>
    <t>Days apart</t>
  </si>
  <si>
    <t>Event</t>
  </si>
  <si>
    <t>Date</t>
  </si>
  <si>
    <t>Location</t>
  </si>
  <si>
    <t>Site Acquisition</t>
  </si>
  <si>
    <t>Chair</t>
  </si>
  <si>
    <t>Chief Safety Steward</t>
  </si>
  <si>
    <t>Safety Steward</t>
  </si>
  <si>
    <t>Youth Steward</t>
  </si>
  <si>
    <t>Regis-tration</t>
  </si>
  <si>
    <t>Chief of Waivers</t>
  </si>
  <si>
    <t>Tech Insp</t>
  </si>
  <si>
    <t>Trailer Delivery</t>
  </si>
  <si>
    <t>Portable Toilet</t>
  </si>
  <si>
    <t>Scheduled Absent</t>
  </si>
  <si>
    <t>Sun, 10-Apr-16</t>
  </si>
  <si>
    <t>ANG</t>
  </si>
  <si>
    <t>Whitney</t>
  </si>
  <si>
    <t>Govier</t>
  </si>
  <si>
    <t>Clark</t>
  </si>
  <si>
    <t>Gilbert</t>
  </si>
  <si>
    <t>Flaherty White</t>
  </si>
  <si>
    <t>Campbell</t>
  </si>
  <si>
    <t>Green</t>
  </si>
  <si>
    <t>White</t>
  </si>
  <si>
    <t>Y</t>
  </si>
  <si>
    <t>Porter</t>
  </si>
  <si>
    <t>Sun, 01-May-16</t>
  </si>
  <si>
    <t>CIR</t>
  </si>
  <si>
    <t>York</t>
  </si>
  <si>
    <t>Non Karting</t>
  </si>
  <si>
    <t>Flaherty Clark</t>
  </si>
  <si>
    <t>N</t>
  </si>
  <si>
    <t>Gilbert, Porter</t>
  </si>
  <si>
    <t>Sun, 15-May-16</t>
  </si>
  <si>
    <t>WCA</t>
  </si>
  <si>
    <t>Moore</t>
  </si>
  <si>
    <t>Flaherty/ Gilbert</t>
  </si>
  <si>
    <t>Whitney, Clark, Porter, Heald</t>
  </si>
  <si>
    <t>TT</t>
  </si>
  <si>
    <t>Sun, 29-May-16</t>
  </si>
  <si>
    <t>Hamburg</t>
  </si>
  <si>
    <t>Wagen-knecht</t>
  </si>
  <si>
    <t>Heald</t>
  </si>
  <si>
    <t>Clark, Gilbert, White, York</t>
  </si>
  <si>
    <t>Mon, 30-May-16</t>
  </si>
  <si>
    <t>Flaherty</t>
  </si>
  <si>
    <t>White, Govier, White, York</t>
  </si>
  <si>
    <t>Sun, 19-Jun-16</t>
  </si>
  <si>
    <t>iWC</t>
  </si>
  <si>
    <t>NP</t>
  </si>
  <si>
    <t>Sat, 25-Jun-16</t>
  </si>
  <si>
    <t>RIA</t>
  </si>
  <si>
    <t>Glaser</t>
  </si>
  <si>
    <t>Govier, Hamburg</t>
  </si>
  <si>
    <t>Sun, 03-Jul-16</t>
  </si>
  <si>
    <t>Austin</t>
  </si>
  <si>
    <t>Sun, 17-Jul-16</t>
  </si>
  <si>
    <t>Wagenknecht</t>
  </si>
  <si>
    <t>Sun, 14-Aug-16</t>
  </si>
  <si>
    <t>Sun, 04-Sep-16</t>
  </si>
  <si>
    <t>Sun, 18-Sep-16</t>
  </si>
  <si>
    <t>Sun, 09-Oct-16</t>
  </si>
  <si>
    <t>SSS List</t>
  </si>
  <si>
    <t>YS List</t>
  </si>
  <si>
    <t>Available Location 2</t>
  </si>
  <si>
    <t>Available Location 3</t>
  </si>
  <si>
    <t>1b</t>
  </si>
  <si>
    <t>Sun, 24-Apr-16</t>
  </si>
  <si>
    <t>Remove from Schedule?</t>
  </si>
  <si>
    <t>2b</t>
  </si>
  <si>
    <t>3c</t>
  </si>
  <si>
    <t>Sat, 28-May-16</t>
  </si>
  <si>
    <t>3b</t>
  </si>
  <si>
    <t>4a</t>
  </si>
  <si>
    <t>RIA??</t>
  </si>
  <si>
    <t>RIA is reviewing how to do this with heightened security</t>
  </si>
  <si>
    <t>6c</t>
  </si>
  <si>
    <t>Sat, 02-Jul-16</t>
  </si>
  <si>
    <t>6b</t>
  </si>
  <si>
    <t>Mon, 04-Jul-16</t>
  </si>
  <si>
    <t>Sun, 24-Jul-16</t>
  </si>
  <si>
    <t>11b</t>
  </si>
  <si>
    <t>Sat, 17-Sep-16</t>
  </si>
  <si>
    <t>ANG??</t>
  </si>
  <si>
    <t>ANG Cannot confirm this date until about June2015</t>
  </si>
  <si>
    <t>Sun, 23-Oct-16</t>
  </si>
  <si>
    <t>This is late for good weather</t>
  </si>
  <si>
    <t>Non-Karting</t>
  </si>
  <si>
    <t>Fanter</t>
  </si>
  <si>
    <t>Ryan</t>
  </si>
  <si>
    <t>Saturday 13-Jun-15</t>
  </si>
  <si>
    <t>Red: required on the Sanction Application</t>
  </si>
  <si>
    <t>NA</t>
  </si>
  <si>
    <t>McQuiggin</t>
  </si>
  <si>
    <t>DSD
Op Ctr</t>
  </si>
  <si>
    <t>Christian</t>
  </si>
  <si>
    <t>i-WC?</t>
  </si>
  <si>
    <t>Slininger</t>
  </si>
  <si>
    <t>Schaefer</t>
  </si>
  <si>
    <t>?</t>
  </si>
  <si>
    <t>Green/White</t>
  </si>
  <si>
    <t>FocusFest?</t>
  </si>
  <si>
    <t>Green indicates preferred schedule</t>
  </si>
  <si>
    <t>Site</t>
  </si>
  <si>
    <t>ANG
$350</t>
  </si>
  <si>
    <t>CIR
$400</t>
  </si>
  <si>
    <t>iWC
$250</t>
  </si>
  <si>
    <t>WCA
$250</t>
  </si>
  <si>
    <t>Requested</t>
  </si>
  <si>
    <t>Non-Points</t>
  </si>
  <si>
    <t>Tentative</t>
  </si>
  <si>
    <t>Jeff W</t>
  </si>
  <si>
    <t>??</t>
  </si>
  <si>
    <t>FocusFest</t>
  </si>
  <si>
    <t>Notes</t>
  </si>
  <si>
    <t>Test Tune</t>
  </si>
  <si>
    <t>Wagenknecht, York, Porter, Hamburg</t>
  </si>
  <si>
    <t>Whitney, Porter, Hamburg</t>
  </si>
  <si>
    <t>York, Porter, Whitney, Clark</t>
  </si>
  <si>
    <t>Porter, Govier, Hamburg</t>
  </si>
  <si>
    <t>Porter, Gilbert</t>
  </si>
  <si>
    <t>Porter, Hamburg, Gilbert</t>
  </si>
  <si>
    <t>Green, Ryan</t>
  </si>
  <si>
    <t>Jeff W, Ryan</t>
  </si>
  <si>
    <t>Nov</t>
  </si>
  <si>
    <t>Oct</t>
  </si>
  <si>
    <t>Sep</t>
  </si>
  <si>
    <t>August</t>
  </si>
  <si>
    <t>July</t>
  </si>
  <si>
    <t>June</t>
  </si>
  <si>
    <t>May</t>
  </si>
  <si>
    <t>Apr</t>
  </si>
  <si>
    <t>N = No</t>
  </si>
  <si>
    <t>Y = yes, no others present</t>
  </si>
  <si>
    <t>Y, O = yes, others present</t>
  </si>
  <si>
    <t>? = Don't know yet</t>
  </si>
  <si>
    <t>563-391-3635, Security: 391-8344</t>
  </si>
  <si>
    <t>Cory Crain
Army Aviation Support Facility #3
9650 North Harrison
Davenport, IA 52806</t>
  </si>
  <si>
    <t>309-782-8631</t>
  </si>
  <si>
    <t>Jim Mettlin</t>
  </si>
  <si>
    <t>309-277-1334</t>
  </si>
  <si>
    <t>Jennifer Kress</t>
  </si>
  <si>
    <t>iwC</t>
  </si>
  <si>
    <t>309-654-2110</t>
  </si>
  <si>
    <t>Bobbi Jo Cox</t>
  </si>
  <si>
    <t>815-622-3591</t>
  </si>
  <si>
    <t>Mike Dowell</t>
  </si>
  <si>
    <t>i-wC</t>
  </si>
  <si>
    <t>DEC</t>
  </si>
  <si>
    <t>Jan</t>
  </si>
  <si>
    <t>Feb</t>
  </si>
  <si>
    <t>Mar</t>
  </si>
  <si>
    <t>QCD</t>
  </si>
  <si>
    <t>BSS</t>
  </si>
  <si>
    <t>MVFG</t>
  </si>
  <si>
    <t>SGT Olivia Canales
Army Aviation Support Facility #3
9650 North Harrison
Davenport, IA 52806</t>
  </si>
  <si>
    <t>QDC
$500</t>
  </si>
  <si>
    <t>U</t>
  </si>
  <si>
    <t>MVF</t>
  </si>
  <si>
    <t>TSC</t>
  </si>
  <si>
    <t>Center formerly known as iwireless.</t>
  </si>
  <si>
    <t>TSC
$250</t>
  </si>
  <si>
    <t>Dominic Blasco</t>
  </si>
  <si>
    <t>Darin Heffelfinger</t>
  </si>
  <si>
    <t>Chris</t>
  </si>
  <si>
    <t>847-385-7786</t>
  </si>
  <si>
    <t>Fredricks</t>
  </si>
  <si>
    <t>Rookie Coordinator</t>
  </si>
  <si>
    <t>Safety Steward Training</t>
  </si>
  <si>
    <t>Whitney/Wagenknecht</t>
  </si>
  <si>
    <t>Registration Training</t>
  </si>
  <si>
    <t>Registration</t>
  </si>
  <si>
    <t>Flaherty/Frels</t>
  </si>
  <si>
    <t>Flaherty/Wagenknecht</t>
  </si>
  <si>
    <t>Heald?</t>
  </si>
  <si>
    <t>Gillis?</t>
  </si>
  <si>
    <t>Frels</t>
  </si>
  <si>
    <t>Chris Midland</t>
  </si>
  <si>
    <t>olivia.l.canales.mil@mail.mil</t>
  </si>
  <si>
    <t>815-213-7939</t>
  </si>
  <si>
    <t>darin@saukvalleyaviation.com</t>
  </si>
  <si>
    <t>Glibert</t>
  </si>
  <si>
    <t>Glibert, Hamburg</t>
  </si>
  <si>
    <t>Galanius</t>
  </si>
  <si>
    <t>Glibert, Hamburg, Govier</t>
  </si>
  <si>
    <t>Glibert, Govier</t>
  </si>
  <si>
    <t>Fredricks /Galanius</t>
  </si>
  <si>
    <t>Glasier/Green</t>
  </si>
  <si>
    <t>Landon</t>
  </si>
  <si>
    <t>N/A</t>
  </si>
  <si>
    <t>Glasier</t>
  </si>
  <si>
    <t>Green/Wagenknecht</t>
  </si>
  <si>
    <t>Will likely change as rookie coordinators chosen.</t>
  </si>
  <si>
    <t>Gillis</t>
  </si>
  <si>
    <t>Justin Gillis</t>
  </si>
  <si>
    <t>Campbell?</t>
  </si>
  <si>
    <t>Campbell/Glaser</t>
  </si>
  <si>
    <t xml:space="preserve">Campbell </t>
  </si>
  <si>
    <t xml:space="preserve">Wagenknecht </t>
  </si>
  <si>
    <t xml:space="preserve">Fredricks  </t>
  </si>
  <si>
    <t xml:space="preserve">Galanius </t>
  </si>
  <si>
    <t>Mike Bealer???</t>
  </si>
  <si>
    <t>Wagenknecht/Rob Bealer</t>
  </si>
  <si>
    <t>Green/Rob Bealer</t>
  </si>
  <si>
    <t>Rob Bealer/Galanius</t>
  </si>
  <si>
    <t>Rob Bealer</t>
  </si>
</sst>
</file>

<file path=xl/styles.xml><?xml version="1.0" encoding="utf-8"?>
<styleSheet xmlns="http://schemas.openxmlformats.org/spreadsheetml/2006/main">
  <numFmts count="4">
    <numFmt numFmtId="164" formatCode="[$-409]ddd\,\ dd\-mmm\-yy"/>
    <numFmt numFmtId="165" formatCode="[$-F800]dddd\,\ mmmm\ dd\,\ yyyy"/>
    <numFmt numFmtId="166" formatCode="[$-409]dd\-mmm\-yy;@"/>
    <numFmt numFmtId="167" formatCode="d"/>
  </numFmts>
  <fonts count="33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trike/>
      <sz val="10"/>
      <name val="Arial"/>
      <family val="2"/>
    </font>
    <font>
      <sz val="10"/>
      <color indexed="8"/>
      <name val="Verdana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color rgb="FF0070C0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A9B74"/>
        <bgColor rgb="FF000000"/>
      </patternFill>
    </fill>
    <fill>
      <patternFill patternType="solid">
        <fgColor rgb="FFFBAF78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9.9978637043366805E-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 diagonalUp="1" diagonalDown="1">
      <left/>
      <right style="thick">
        <color indexed="64"/>
      </right>
      <top/>
      <bottom style="thick">
        <color indexed="64"/>
      </bottom>
      <diagonal style="thick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 diagonalUp="1"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</cellStyleXfs>
  <cellXfs count="291">
    <xf numFmtId="0" fontId="18" fillId="0" borderId="0" xfId="0" applyFont="1"/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/>
    </xf>
    <xf numFmtId="0" fontId="19" fillId="33" borderId="15" xfId="0" applyFont="1" applyFill="1" applyBorder="1" applyAlignment="1">
      <alignment vertical="center"/>
    </xf>
    <xf numFmtId="0" fontId="19" fillId="33" borderId="16" xfId="0" applyFont="1" applyFill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34" borderId="18" xfId="0" applyFont="1" applyFill="1" applyBorder="1" applyAlignment="1">
      <alignment vertical="center"/>
    </xf>
    <xf numFmtId="0" fontId="19" fillId="33" borderId="18" xfId="0" applyFont="1" applyFill="1" applyBorder="1" applyAlignment="1">
      <alignment vertical="center"/>
    </xf>
    <xf numFmtId="0" fontId="20" fillId="33" borderId="18" xfId="0" applyFont="1" applyFill="1" applyBorder="1" applyAlignment="1">
      <alignment vertical="center"/>
    </xf>
    <xf numFmtId="0" fontId="19" fillId="33" borderId="19" xfId="0" applyFont="1" applyFill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0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164" fontId="23" fillId="35" borderId="18" xfId="0" applyNumberFormat="1" applyFont="1" applyFill="1" applyBorder="1" applyAlignment="1">
      <alignment horizontal="center" vertical="center" wrapText="1"/>
    </xf>
    <xf numFmtId="0" fontId="23" fillId="36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37" borderId="17" xfId="0" applyFont="1" applyFill="1" applyBorder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 wrapText="1"/>
    </xf>
    <xf numFmtId="0" fontId="23" fillId="35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horizontal="left" vertical="center" wrapText="1"/>
    </xf>
    <xf numFmtId="0" fontId="0" fillId="39" borderId="17" xfId="0" applyFont="1" applyFill="1" applyBorder="1" applyAlignment="1">
      <alignment horizontal="center" vertical="center" wrapText="1"/>
    </xf>
    <xf numFmtId="0" fontId="23" fillId="40" borderId="18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0" fillId="41" borderId="17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left" vertical="center" wrapText="1"/>
    </xf>
    <xf numFmtId="0" fontId="0" fillId="42" borderId="17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164" fontId="23" fillId="0" borderId="18" xfId="0" applyNumberFormat="1" applyFont="1" applyBorder="1" applyAlignment="1">
      <alignment horizontal="center" vertical="center" wrapText="1"/>
    </xf>
    <xf numFmtId="0" fontId="23" fillId="43" borderId="18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0" fillId="44" borderId="17" xfId="0" applyFont="1" applyFill="1" applyBorder="1" applyAlignment="1">
      <alignment horizontal="center" vertical="center" wrapText="1"/>
    </xf>
    <xf numFmtId="0" fontId="0" fillId="45" borderId="17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left" vertical="center" wrapText="1"/>
    </xf>
    <xf numFmtId="0" fontId="25" fillId="0" borderId="18" xfId="0" applyFont="1" applyBorder="1" applyAlignment="1">
      <alignment horizontal="center" vertical="center" wrapText="1"/>
    </xf>
    <xf numFmtId="0" fontId="23" fillId="33" borderId="18" xfId="0" applyFont="1" applyFill="1" applyBorder="1" applyAlignment="1">
      <alignment horizontal="center" vertical="center" wrapText="1"/>
    </xf>
    <xf numFmtId="0" fontId="0" fillId="46" borderId="17" xfId="0" applyFont="1" applyFill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4" xfId="0" applyFont="1" applyBorder="1" applyAlignment="1">
      <alignment vertical="center" wrapText="1"/>
    </xf>
    <xf numFmtId="165" fontId="23" fillId="0" borderId="20" xfId="0" applyNumberFormat="1" applyFont="1" applyBorder="1" applyAlignment="1">
      <alignment horizontal="center" vertical="center" wrapText="1"/>
    </xf>
    <xf numFmtId="0" fontId="0" fillId="0" borderId="23" xfId="0" applyFont="1" applyBorder="1" applyAlignment="1">
      <alignment vertical="center" wrapText="1"/>
    </xf>
    <xf numFmtId="0" fontId="0" fillId="0" borderId="25" xfId="0" applyFont="1" applyBorder="1" applyAlignment="1">
      <alignment vertical="center" wrapText="1"/>
    </xf>
    <xf numFmtId="0" fontId="0" fillId="47" borderId="26" xfId="0" applyFont="1" applyFill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165" fontId="23" fillId="0" borderId="23" xfId="0" applyNumberFormat="1" applyFont="1" applyBorder="1" applyAlignment="1">
      <alignment horizontal="center" vertical="center" wrapText="1"/>
    </xf>
    <xf numFmtId="0" fontId="0" fillId="47" borderId="27" xfId="0" applyFont="1" applyFill="1" applyBorder="1" applyAlignment="1">
      <alignment vertical="center" wrapText="1"/>
    </xf>
    <xf numFmtId="0" fontId="0" fillId="47" borderId="28" xfId="0" applyFont="1" applyFill="1" applyBorder="1" applyAlignment="1">
      <alignment vertical="center" wrapText="1"/>
    </xf>
    <xf numFmtId="15" fontId="0" fillId="0" borderId="23" xfId="0" applyNumberFormat="1" applyFont="1" applyBorder="1" applyAlignment="1">
      <alignment horizontal="center" vertical="center" wrapText="1"/>
    </xf>
    <xf numFmtId="0" fontId="0" fillId="47" borderId="29" xfId="0" applyFont="1" applyFill="1" applyBorder="1" applyAlignment="1">
      <alignment vertical="center" wrapText="1"/>
    </xf>
    <xf numFmtId="0" fontId="23" fillId="47" borderId="29" xfId="0" applyFont="1" applyFill="1" applyBorder="1" applyAlignment="1">
      <alignment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29" xfId="0" applyFont="1" applyBorder="1" applyAlignment="1">
      <alignment vertical="center" wrapText="1"/>
    </xf>
    <xf numFmtId="0" fontId="19" fillId="0" borderId="0" xfId="0" applyFont="1" applyBorder="1" applyAlignment="1">
      <alignment vertical="center"/>
    </xf>
    <xf numFmtId="0" fontId="19" fillId="33" borderId="31" xfId="0" applyFont="1" applyFill="1" applyBorder="1" applyAlignment="1">
      <alignment vertical="center"/>
    </xf>
    <xf numFmtId="0" fontId="19" fillId="33" borderId="32" xfId="0" applyFont="1" applyFill="1" applyBorder="1" applyAlignment="1">
      <alignment vertical="center"/>
    </xf>
    <xf numFmtId="0" fontId="19" fillId="33" borderId="33" xfId="0" applyFont="1" applyFill="1" applyBorder="1" applyAlignment="1">
      <alignment vertical="center"/>
    </xf>
    <xf numFmtId="0" fontId="20" fillId="33" borderId="32" xfId="0" applyFont="1" applyFill="1" applyBorder="1" applyAlignment="1">
      <alignment vertical="center"/>
    </xf>
    <xf numFmtId="0" fontId="19" fillId="0" borderId="34" xfId="0" applyFont="1" applyBorder="1" applyAlignment="1">
      <alignment vertical="center"/>
    </xf>
    <xf numFmtId="0" fontId="19" fillId="34" borderId="35" xfId="0" applyFont="1" applyFill="1" applyBorder="1" applyAlignment="1">
      <alignment vertical="center"/>
    </xf>
    <xf numFmtId="0" fontId="19" fillId="33" borderId="0" xfId="0" applyFont="1" applyFill="1" applyBorder="1" applyAlignment="1">
      <alignment horizontal="left" vertical="center"/>
    </xf>
    <xf numFmtId="0" fontId="19" fillId="33" borderId="0" xfId="0" applyFont="1" applyFill="1" applyBorder="1" applyAlignment="1">
      <alignment vertical="center"/>
    </xf>
    <xf numFmtId="0" fontId="19" fillId="33" borderId="36" xfId="0" applyFont="1" applyFill="1" applyBorder="1" applyAlignment="1">
      <alignment vertical="center"/>
    </xf>
    <xf numFmtId="0" fontId="20" fillId="33" borderId="0" xfId="0" applyFont="1" applyFill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0" fillId="0" borderId="11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3" fillId="48" borderId="18" xfId="0" applyFont="1" applyFill="1" applyBorder="1" applyAlignment="1">
      <alignment horizontal="center" vertical="center" wrapText="1"/>
    </xf>
    <xf numFmtId="164" fontId="23" fillId="48" borderId="18" xfId="0" applyNumberFormat="1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49" borderId="18" xfId="0" applyFont="1" applyFill="1" applyBorder="1" applyAlignment="1">
      <alignment horizontal="left" vertical="center"/>
    </xf>
    <xf numFmtId="0" fontId="23" fillId="0" borderId="25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47" borderId="18" xfId="0" applyFont="1" applyFill="1" applyBorder="1" applyAlignment="1">
      <alignment horizontal="center" vertical="center" wrapText="1"/>
    </xf>
    <xf numFmtId="164" fontId="23" fillId="47" borderId="18" xfId="0" applyNumberFormat="1" applyFont="1" applyFill="1" applyBorder="1" applyAlignment="1">
      <alignment horizontal="center" vertical="center" wrapText="1"/>
    </xf>
    <xf numFmtId="164" fontId="23" fillId="38" borderId="18" xfId="0" applyNumberFormat="1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0" fillId="0" borderId="53" xfId="0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0" fillId="0" borderId="52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0" fillId="0" borderId="26" xfId="0" applyFont="1" applyBorder="1" applyAlignment="1">
      <alignment vertical="center" wrapText="1"/>
    </xf>
    <xf numFmtId="0" fontId="0" fillId="0" borderId="27" xfId="0" applyFont="1" applyBorder="1" applyAlignment="1">
      <alignment vertical="center" wrapText="1"/>
    </xf>
    <xf numFmtId="0" fontId="0" fillId="0" borderId="28" xfId="0" applyFont="1" applyBorder="1" applyAlignment="1">
      <alignment vertical="center" wrapText="1"/>
    </xf>
    <xf numFmtId="0" fontId="0" fillId="0" borderId="29" xfId="0" applyFont="1" applyBorder="1" applyAlignment="1">
      <alignment vertical="center" wrapText="1"/>
    </xf>
    <xf numFmtId="0" fontId="0" fillId="0" borderId="58" xfId="0" applyFont="1" applyBorder="1" applyAlignment="1">
      <alignment vertical="center" wrapText="1"/>
    </xf>
    <xf numFmtId="0" fontId="0" fillId="50" borderId="23" xfId="0" applyFont="1" applyFill="1" applyBorder="1" applyAlignment="1">
      <alignment vertical="center" wrapText="1"/>
    </xf>
    <xf numFmtId="0" fontId="19" fillId="34" borderId="34" xfId="0" applyFont="1" applyFill="1" applyBorder="1" applyAlignment="1">
      <alignment vertical="center"/>
    </xf>
    <xf numFmtId="0" fontId="21" fillId="0" borderId="33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6" fontId="23" fillId="0" borderId="44" xfId="0" applyNumberFormat="1" applyFont="1" applyBorder="1" applyAlignment="1">
      <alignment horizontal="center" vertical="center" wrapText="1"/>
    </xf>
    <xf numFmtId="0" fontId="23" fillId="35" borderId="44" xfId="0" applyFont="1" applyFill="1" applyBorder="1" applyAlignment="1">
      <alignment horizontal="center" vertical="center" wrapText="1"/>
    </xf>
    <xf numFmtId="0" fontId="23" fillId="35" borderId="45" xfId="0" applyFont="1" applyFill="1" applyBorder="1" applyAlignment="1">
      <alignment horizontal="center" vertical="center" wrapText="1"/>
    </xf>
    <xf numFmtId="0" fontId="23" fillId="35" borderId="60" xfId="0" applyFont="1" applyFill="1" applyBorder="1" applyAlignment="1">
      <alignment horizontal="center" vertical="center" wrapText="1"/>
    </xf>
    <xf numFmtId="0" fontId="23" fillId="35" borderId="20" xfId="0" applyFont="1" applyFill="1" applyBorder="1" applyAlignment="1">
      <alignment horizontal="center" vertical="center"/>
    </xf>
    <xf numFmtId="0" fontId="23" fillId="35" borderId="23" xfId="0" applyFont="1" applyFill="1" applyBorder="1" applyAlignment="1">
      <alignment horizontal="center" vertical="center" wrapText="1"/>
    </xf>
    <xf numFmtId="0" fontId="23" fillId="35" borderId="47" xfId="0" applyFont="1" applyFill="1" applyBorder="1" applyAlignment="1">
      <alignment horizontal="center" vertical="center" wrapText="1"/>
    </xf>
    <xf numFmtId="0" fontId="23" fillId="35" borderId="25" xfId="0" applyFont="1" applyFill="1" applyBorder="1" applyAlignment="1">
      <alignment horizontal="center" vertical="center" wrapText="1"/>
    </xf>
    <xf numFmtId="0" fontId="23" fillId="35" borderId="20" xfId="0" applyFont="1" applyFill="1" applyBorder="1" applyAlignment="1">
      <alignment horizontal="center" vertical="center" wrapText="1"/>
    </xf>
    <xf numFmtId="0" fontId="0" fillId="35" borderId="23" xfId="0" applyFont="1" applyFill="1" applyBorder="1" applyAlignment="1">
      <alignment horizontal="center" vertical="center" wrapText="1"/>
    </xf>
    <xf numFmtId="0" fontId="0" fillId="35" borderId="25" xfId="0" applyFont="1" applyFill="1" applyBorder="1" applyAlignment="1">
      <alignment horizontal="center" vertical="center" wrapText="1"/>
    </xf>
    <xf numFmtId="0" fontId="0" fillId="35" borderId="20" xfId="0" applyFont="1" applyFill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6" fontId="23" fillId="0" borderId="40" xfId="0" applyNumberFormat="1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 wrapText="1"/>
    </xf>
    <xf numFmtId="0" fontId="23" fillId="48" borderId="62" xfId="0" applyFont="1" applyFill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0" fillId="48" borderId="55" xfId="0" applyFont="1" applyFill="1" applyBorder="1" applyAlignment="1">
      <alignment horizontal="center" vertical="center" wrapText="1"/>
    </xf>
    <xf numFmtId="0" fontId="19" fillId="33" borderId="64" xfId="0" applyFont="1" applyFill="1" applyBorder="1" applyAlignment="1">
      <alignment vertical="center"/>
    </xf>
    <xf numFmtId="0" fontId="19" fillId="51" borderId="10" xfId="0" applyFont="1" applyFill="1" applyBorder="1" applyAlignment="1">
      <alignment vertical="center"/>
    </xf>
    <xf numFmtId="0" fontId="19" fillId="33" borderId="54" xfId="0" applyFont="1" applyFill="1" applyBorder="1" applyAlignment="1">
      <alignment horizontal="left" vertical="center"/>
    </xf>
    <xf numFmtId="0" fontId="19" fillId="33" borderId="63" xfId="0" applyFont="1" applyFill="1" applyBorder="1" applyAlignment="1">
      <alignment vertical="center"/>
    </xf>
    <xf numFmtId="0" fontId="20" fillId="33" borderId="54" xfId="0" applyFont="1" applyFill="1" applyBorder="1" applyAlignment="1">
      <alignment vertical="center"/>
    </xf>
    <xf numFmtId="0" fontId="19" fillId="33" borderId="54" xfId="0" applyFont="1" applyFill="1" applyBorder="1" applyAlignment="1">
      <alignment vertical="center"/>
    </xf>
    <xf numFmtId="0" fontId="21" fillId="0" borderId="6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2" fillId="0" borderId="62" xfId="0" applyFont="1" applyBorder="1" applyAlignment="1">
      <alignment horizontal="center" vertical="center" wrapText="1"/>
    </xf>
    <xf numFmtId="0" fontId="21" fillId="0" borderId="63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5" fontId="26" fillId="0" borderId="44" xfId="0" applyNumberFormat="1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15" fontId="23" fillId="0" borderId="23" xfId="0" applyNumberFormat="1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0" fontId="0" fillId="0" borderId="67" xfId="0" applyFont="1" applyBorder="1" applyAlignment="1">
      <alignment horizontal="center" vertical="center" wrapText="1"/>
    </xf>
    <xf numFmtId="0" fontId="23" fillId="0" borderId="23" xfId="0" applyFont="1" applyBorder="1" applyAlignment="1">
      <alignment vertical="center" wrapText="1"/>
    </xf>
    <xf numFmtId="0" fontId="0" fillId="0" borderId="0" xfId="0" applyFont="1"/>
    <xf numFmtId="0" fontId="23" fillId="52" borderId="18" xfId="0" applyFont="1" applyFill="1" applyBorder="1" applyAlignment="1">
      <alignment horizontal="center" vertical="center" wrapText="1"/>
    </xf>
    <xf numFmtId="164" fontId="23" fillId="52" borderId="18" xfId="0" applyNumberFormat="1" applyFont="1" applyFill="1" applyBorder="1" applyAlignment="1">
      <alignment horizontal="center" vertical="center" wrapText="1"/>
    </xf>
    <xf numFmtId="0" fontId="23" fillId="53" borderId="18" xfId="0" applyFont="1" applyFill="1" applyBorder="1" applyAlignment="1">
      <alignment horizontal="center" vertical="center" wrapText="1"/>
    </xf>
    <xf numFmtId="0" fontId="23" fillId="52" borderId="22" xfId="0" applyFont="1" applyFill="1" applyBorder="1" applyAlignment="1">
      <alignment horizontal="center" vertical="center" wrapText="1"/>
    </xf>
    <xf numFmtId="0" fontId="23" fillId="52" borderId="19" xfId="0" applyFont="1" applyFill="1" applyBorder="1" applyAlignment="1">
      <alignment horizontal="center" vertical="center" wrapText="1"/>
    </xf>
    <xf numFmtId="164" fontId="24" fillId="52" borderId="18" xfId="0" applyNumberFormat="1" applyFont="1" applyFill="1" applyBorder="1" applyAlignment="1">
      <alignment horizontal="center" vertical="center" wrapText="1"/>
    </xf>
    <xf numFmtId="0" fontId="25" fillId="52" borderId="18" xfId="0" applyFont="1" applyFill="1" applyBorder="1" applyAlignment="1">
      <alignment horizontal="center" vertical="center" wrapText="1"/>
    </xf>
    <xf numFmtId="0" fontId="23" fillId="0" borderId="18" xfId="0" applyFont="1" applyFill="1" applyBorder="1" applyAlignment="1">
      <alignment horizontal="center" vertical="center" wrapText="1"/>
    </xf>
    <xf numFmtId="164" fontId="23" fillId="0" borderId="18" xfId="0" applyNumberFormat="1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23" fillId="0" borderId="18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vertical="center"/>
    </xf>
    <xf numFmtId="0" fontId="19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vertical="center" wrapText="1"/>
    </xf>
    <xf numFmtId="0" fontId="0" fillId="0" borderId="20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23" fillId="54" borderId="18" xfId="0" applyFont="1" applyFill="1" applyBorder="1" applyAlignment="1">
      <alignment horizontal="center" vertical="center" wrapText="1"/>
    </xf>
    <xf numFmtId="0" fontId="0" fillId="54" borderId="23" xfId="0" applyFont="1" applyFill="1" applyBorder="1" applyAlignment="1">
      <alignment horizontal="left" vertical="center" wrapText="1"/>
    </xf>
    <xf numFmtId="0" fontId="23" fillId="54" borderId="18" xfId="0" applyFont="1" applyFill="1" applyBorder="1" applyAlignment="1">
      <alignment horizontal="center" vertical="center"/>
    </xf>
    <xf numFmtId="0" fontId="23" fillId="54" borderId="23" xfId="0" applyFont="1" applyFill="1" applyBorder="1" applyAlignment="1">
      <alignment horizontal="left" vertical="center" wrapText="1"/>
    </xf>
    <xf numFmtId="0" fontId="0" fillId="54" borderId="20" xfId="0" applyFont="1" applyFill="1" applyBorder="1" applyAlignment="1">
      <alignment horizontal="left" vertical="center" wrapText="1"/>
    </xf>
    <xf numFmtId="164" fontId="23" fillId="54" borderId="18" xfId="0" applyNumberFormat="1" applyFont="1" applyFill="1" applyBorder="1" applyAlignment="1">
      <alignment horizontal="center" vertical="center" wrapText="1"/>
    </xf>
    <xf numFmtId="164" fontId="23" fillId="55" borderId="18" xfId="0" applyNumberFormat="1" applyFont="1" applyFill="1" applyBorder="1" applyAlignment="1">
      <alignment horizontal="center" vertical="center" wrapText="1"/>
    </xf>
    <xf numFmtId="0" fontId="0" fillId="54" borderId="0" xfId="0" applyFont="1" applyFill="1" applyBorder="1" applyAlignment="1">
      <alignment horizontal="center" vertical="center" wrapText="1"/>
    </xf>
    <xf numFmtId="164" fontId="23" fillId="56" borderId="18" xfId="0" applyNumberFormat="1" applyFont="1" applyFill="1" applyBorder="1" applyAlignment="1">
      <alignment horizontal="center" vertical="center" wrapText="1"/>
    </xf>
    <xf numFmtId="164" fontId="23" fillId="57" borderId="18" xfId="0" applyNumberFormat="1" applyFont="1" applyFill="1" applyBorder="1" applyAlignment="1">
      <alignment horizontal="center" vertical="center" wrapText="1"/>
    </xf>
    <xf numFmtId="0" fontId="23" fillId="57" borderId="18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vertical="center" wrapText="1"/>
    </xf>
    <xf numFmtId="0" fontId="23" fillId="57" borderId="18" xfId="0" applyFont="1" applyFill="1" applyBorder="1" applyAlignment="1">
      <alignment horizontal="center" vertical="center" wrapText="1"/>
    </xf>
    <xf numFmtId="167" fontId="22" fillId="0" borderId="0" xfId="0" applyNumberFormat="1" applyFont="1" applyAlignment="1">
      <alignment horizontal="left" vertical="top"/>
    </xf>
    <xf numFmtId="167" fontId="18" fillId="0" borderId="0" xfId="0" applyNumberFormat="1" applyFont="1" applyAlignment="1">
      <alignment horizontal="left" vertical="top"/>
    </xf>
    <xf numFmtId="167" fontId="22" fillId="58" borderId="0" xfId="0" applyNumberFormat="1" applyFont="1" applyFill="1" applyBorder="1" applyAlignment="1">
      <alignment horizontal="left" vertical="top"/>
    </xf>
    <xf numFmtId="167" fontId="22" fillId="0" borderId="0" xfId="0" applyNumberFormat="1" applyFont="1" applyFill="1" applyBorder="1" applyAlignment="1">
      <alignment horizontal="left" vertical="top"/>
    </xf>
    <xf numFmtId="167" fontId="22" fillId="58" borderId="54" xfId="0" applyNumberFormat="1" applyFont="1" applyFill="1" applyBorder="1" applyAlignment="1">
      <alignment horizontal="left" vertical="top"/>
    </xf>
    <xf numFmtId="167" fontId="22" fillId="0" borderId="54" xfId="0" applyNumberFormat="1" applyFont="1" applyFill="1" applyBorder="1" applyAlignment="1">
      <alignment horizontal="left" vertical="top"/>
    </xf>
    <xf numFmtId="167" fontId="22" fillId="0" borderId="0" xfId="0" applyNumberFormat="1" applyFont="1" applyFill="1" applyBorder="1" applyAlignment="1">
      <alignment horizontal="center" vertical="top"/>
    </xf>
    <xf numFmtId="167" fontId="22" fillId="0" borderId="26" xfId="0" applyNumberFormat="1" applyFont="1" applyFill="1" applyBorder="1" applyAlignment="1">
      <alignment horizontal="center" vertical="top"/>
    </xf>
    <xf numFmtId="167" fontId="22" fillId="0" borderId="36" xfId="0" applyNumberFormat="1" applyFont="1" applyFill="1" applyBorder="1" applyAlignment="1">
      <alignment horizontal="center" vertical="top"/>
    </xf>
    <xf numFmtId="167" fontId="22" fillId="59" borderId="0" xfId="0" applyNumberFormat="1" applyFont="1" applyFill="1" applyBorder="1" applyAlignment="1">
      <alignment horizontal="left" vertical="top"/>
    </xf>
    <xf numFmtId="167" fontId="22" fillId="58" borderId="28" xfId="0" applyNumberFormat="1" applyFont="1" applyFill="1" applyBorder="1" applyAlignment="1">
      <alignment horizontal="left" vertical="top"/>
    </xf>
    <xf numFmtId="167" fontId="22" fillId="57" borderId="0" xfId="0" applyNumberFormat="1" applyFont="1" applyFill="1" applyBorder="1" applyAlignment="1">
      <alignment horizontal="left" vertical="top"/>
    </xf>
    <xf numFmtId="167" fontId="22" fillId="0" borderId="28" xfId="0" applyNumberFormat="1" applyFont="1" applyFill="1" applyBorder="1" applyAlignment="1">
      <alignment horizontal="left" vertical="top"/>
    </xf>
    <xf numFmtId="167" fontId="22" fillId="0" borderId="0" xfId="0" applyNumberFormat="1" applyFont="1" applyBorder="1" applyAlignment="1">
      <alignment horizontal="left" vertical="top"/>
    </xf>
    <xf numFmtId="0" fontId="27" fillId="0" borderId="0" xfId="0" applyFont="1"/>
    <xf numFmtId="167" fontId="22" fillId="52" borderId="0" xfId="0" applyNumberFormat="1" applyFont="1" applyFill="1" applyBorder="1" applyAlignment="1">
      <alignment horizontal="left" vertical="top"/>
    </xf>
    <xf numFmtId="167" fontId="22" fillId="60" borderId="0" xfId="0" applyNumberFormat="1" applyFont="1" applyFill="1" applyBorder="1" applyAlignment="1">
      <alignment horizontal="left" vertical="top"/>
    </xf>
    <xf numFmtId="167" fontId="28" fillId="0" borderId="0" xfId="0" applyNumberFormat="1" applyFont="1" applyBorder="1" applyAlignment="1">
      <alignment horizontal="left" vertical="top"/>
    </xf>
    <xf numFmtId="167" fontId="22" fillId="57" borderId="28" xfId="0" applyNumberFormat="1" applyFont="1" applyFill="1" applyBorder="1" applyAlignment="1">
      <alignment horizontal="left" vertical="top"/>
    </xf>
    <xf numFmtId="167" fontId="22" fillId="0" borderId="68" xfId="0" applyNumberFormat="1" applyFont="1" applyFill="1" applyBorder="1" applyAlignment="1">
      <alignment horizontal="center" vertical="top"/>
    </xf>
    <xf numFmtId="167" fontId="22" fillId="0" borderId="33" xfId="0" applyNumberFormat="1" applyFont="1" applyFill="1" applyBorder="1" applyAlignment="1">
      <alignment horizontal="center" vertical="top"/>
    </xf>
    <xf numFmtId="167" fontId="22" fillId="0" borderId="0" xfId="0" applyNumberFormat="1" applyFont="1" applyBorder="1" applyAlignment="1">
      <alignment horizontal="center" vertical="top"/>
    </xf>
    <xf numFmtId="167" fontId="22" fillId="0" borderId="41" xfId="0" applyNumberFormat="1" applyFont="1" applyBorder="1" applyAlignment="1">
      <alignment horizontal="center" vertical="top"/>
    </xf>
    <xf numFmtId="167" fontId="22" fillId="0" borderId="69" xfId="0" applyNumberFormat="1" applyFont="1" applyBorder="1" applyAlignment="1">
      <alignment horizontal="center" vertical="top"/>
    </xf>
    <xf numFmtId="0" fontId="18" fillId="0" borderId="0" xfId="0" applyNumberFormat="1" applyFont="1" applyAlignment="1">
      <alignment horizontal="left" vertical="top"/>
    </xf>
    <xf numFmtId="167" fontId="22" fillId="0" borderId="50" xfId="0" applyNumberFormat="1" applyFont="1" applyFill="1" applyBorder="1" applyAlignment="1">
      <alignment horizontal="left" vertical="top"/>
    </xf>
    <xf numFmtId="167" fontId="22" fillId="58" borderId="50" xfId="0" applyNumberFormat="1" applyFont="1" applyFill="1" applyBorder="1" applyAlignment="1">
      <alignment horizontal="left" vertical="top"/>
    </xf>
    <xf numFmtId="167" fontId="22" fillId="0" borderId="70" xfId="0" applyNumberFormat="1" applyFont="1" applyFill="1" applyBorder="1" applyAlignment="1">
      <alignment horizontal="left" vertical="top"/>
    </xf>
    <xf numFmtId="167" fontId="22" fillId="57" borderId="50" xfId="0" applyNumberFormat="1" applyFont="1" applyFill="1" applyBorder="1" applyAlignment="1">
      <alignment horizontal="left" vertical="top"/>
    </xf>
    <xf numFmtId="167" fontId="22" fillId="55" borderId="50" xfId="0" applyNumberFormat="1" applyFont="1" applyFill="1" applyBorder="1" applyAlignment="1">
      <alignment horizontal="left" vertical="top"/>
    </xf>
    <xf numFmtId="167" fontId="22" fillId="0" borderId="71" xfId="0" applyNumberFormat="1" applyFont="1" applyBorder="1" applyAlignment="1">
      <alignment horizontal="center" vertical="top"/>
    </xf>
    <xf numFmtId="167" fontId="22" fillId="54" borderId="36" xfId="0" applyNumberFormat="1" applyFont="1" applyFill="1" applyBorder="1" applyAlignment="1">
      <alignment horizontal="center" vertical="top"/>
    </xf>
    <xf numFmtId="0" fontId="29" fillId="0" borderId="0" xfId="0" applyNumberFormat="1" applyFont="1" applyAlignment="1">
      <alignment horizontal="left" vertical="top"/>
    </xf>
    <xf numFmtId="0" fontId="18" fillId="54" borderId="18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54" borderId="18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0" fontId="0" fillId="47" borderId="0" xfId="0" applyFont="1" applyFill="1" applyBorder="1" applyAlignment="1">
      <alignment vertical="center" wrapText="1"/>
    </xf>
    <xf numFmtId="0" fontId="19" fillId="33" borderId="14" xfId="0" applyFont="1" applyFill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30" fillId="0" borderId="18" xfId="0" applyFont="1" applyBorder="1" applyAlignment="1">
      <alignment horizontal="center" vertical="center" wrapText="1"/>
    </xf>
    <xf numFmtId="0" fontId="18" fillId="57" borderId="10" xfId="0" applyFont="1" applyFill="1" applyBorder="1" applyAlignment="1">
      <alignment vertical="center" wrapText="1"/>
    </xf>
    <xf numFmtId="0" fontId="18" fillId="54" borderId="23" xfId="0" applyFont="1" applyFill="1" applyBorder="1" applyAlignment="1">
      <alignment vertical="center" wrapText="1"/>
    </xf>
    <xf numFmtId="0" fontId="18" fillId="57" borderId="23" xfId="0" applyFont="1" applyFill="1" applyBorder="1" applyAlignment="1">
      <alignment vertical="center" wrapText="1"/>
    </xf>
    <xf numFmtId="0" fontId="18" fillId="47" borderId="29" xfId="0" applyFont="1" applyFill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167" fontId="32" fillId="0" borderId="0" xfId="42" applyNumberFormat="1" applyFont="1" applyBorder="1" applyAlignment="1" applyProtection="1">
      <alignment horizontal="left" vertical="top"/>
    </xf>
    <xf numFmtId="0" fontId="18" fillId="54" borderId="12" xfId="0" applyFont="1" applyFill="1" applyBorder="1" applyAlignment="1">
      <alignment vertical="center" wrapText="1"/>
    </xf>
    <xf numFmtId="0" fontId="22" fillId="47" borderId="27" xfId="0" applyFont="1" applyFill="1" applyBorder="1" applyAlignment="1">
      <alignment vertical="center" wrapText="1"/>
    </xf>
    <xf numFmtId="0" fontId="22" fillId="47" borderId="29" xfId="0" applyFont="1" applyFill="1" applyBorder="1" applyAlignment="1">
      <alignment vertical="center" wrapText="1"/>
    </xf>
    <xf numFmtId="0" fontId="0" fillId="57" borderId="23" xfId="0" applyFill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18" fillId="61" borderId="18" xfId="0" applyFont="1" applyFill="1" applyBorder="1" applyAlignment="1">
      <alignment horizontal="center" vertical="center" wrapText="1"/>
    </xf>
    <xf numFmtId="0" fontId="18" fillId="61" borderId="19" xfId="0" applyFont="1" applyFill="1" applyBorder="1" applyAlignment="1">
      <alignment horizontal="center" vertical="center" wrapText="1"/>
    </xf>
    <xf numFmtId="167" fontId="31" fillId="0" borderId="0" xfId="42" applyNumberFormat="1" applyBorder="1" applyAlignment="1" applyProtection="1">
      <alignment horizontal="left" vertical="top"/>
    </xf>
    <xf numFmtId="15" fontId="0" fillId="0" borderId="23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8" fillId="62" borderId="18" xfId="0" applyFont="1" applyFill="1" applyBorder="1" applyAlignment="1">
      <alignment horizontal="center" vertical="center" wrapText="1"/>
    </xf>
    <xf numFmtId="0" fontId="18" fillId="54" borderId="10" xfId="0" applyFont="1" applyFill="1" applyBorder="1" applyAlignment="1">
      <alignment vertical="center" wrapText="1"/>
    </xf>
    <xf numFmtId="0" fontId="23" fillId="54" borderId="29" xfId="0" applyFont="1" applyFill="1" applyBorder="1" applyAlignment="1">
      <alignment vertical="center" wrapText="1"/>
    </xf>
    <xf numFmtId="0" fontId="19" fillId="33" borderId="30" xfId="0" applyFont="1" applyFill="1" applyBorder="1" applyAlignment="1">
      <alignment horizontal="left" vertical="center"/>
    </xf>
    <xf numFmtId="0" fontId="19" fillId="33" borderId="14" xfId="0" applyFont="1" applyFill="1" applyBorder="1" applyAlignment="1">
      <alignment horizontal="left" vertical="center"/>
    </xf>
    <xf numFmtId="0" fontId="19" fillId="33" borderId="13" xfId="0" applyFont="1" applyFill="1" applyBorder="1" applyAlignment="1">
      <alignment horizontal="left" vertical="center"/>
    </xf>
    <xf numFmtId="0" fontId="20" fillId="33" borderId="30" xfId="0" applyFont="1" applyFill="1" applyBorder="1" applyAlignment="1">
      <alignment horizontal="left" vertical="center"/>
    </xf>
    <xf numFmtId="0" fontId="20" fillId="33" borderId="14" xfId="0" applyFont="1" applyFill="1" applyBorder="1" applyAlignment="1">
      <alignment horizontal="left" vertical="center"/>
    </xf>
    <xf numFmtId="0" fontId="20" fillId="33" borderId="13" xfId="0" applyFont="1" applyFill="1" applyBorder="1" applyAlignment="1">
      <alignment horizontal="left" vertical="center"/>
    </xf>
    <xf numFmtId="167" fontId="22" fillId="0" borderId="0" xfId="0" applyNumberFormat="1" applyFont="1" applyBorder="1" applyAlignment="1">
      <alignment horizontal="left" vertical="top" wrapText="1"/>
    </xf>
    <xf numFmtId="0" fontId="18" fillId="63" borderId="18" xfId="0" applyFont="1" applyFill="1" applyBorder="1" applyAlignment="1">
      <alignment horizontal="center" vertical="center" wrapText="1"/>
    </xf>
    <xf numFmtId="0" fontId="18" fillId="63" borderId="19" xfId="0" applyFont="1" applyFill="1" applyBorder="1" applyAlignment="1">
      <alignment horizontal="center" vertical="center" wrapText="1"/>
    </xf>
    <xf numFmtId="0" fontId="18" fillId="0" borderId="72" xfId="0" applyFont="1" applyFill="1" applyBorder="1" applyAlignment="1">
      <alignment horizontal="center" vertical="center" wrapText="1"/>
    </xf>
    <xf numFmtId="0" fontId="0" fillId="54" borderId="23" xfId="0" applyFill="1" applyBorder="1" applyAlignment="1">
      <alignment vertical="center" wrapText="1"/>
    </xf>
    <xf numFmtId="0" fontId="18" fillId="0" borderId="73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indexed="4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92D050"/>
        </patternFill>
      </fill>
    </dxf>
    <dxf>
      <fill>
        <patternFill>
          <bgColor indexed="4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4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colors>
    <mruColors>
      <color rgb="FFFF66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727710</xdr:colOff>
      <xdr:row>0</xdr:row>
      <xdr:rowOff>0</xdr:rowOff>
    </xdr:from>
    <xdr:to>
      <xdr:col>6</xdr:col>
      <xdr:colOff>371461</xdr:colOff>
      <xdr:row>0</xdr:row>
      <xdr:rowOff>0</xdr:rowOff>
    </xdr:to>
    <xdr:sp macro="" textlink="">
      <xdr:nvSpPr>
        <xdr:cNvPr id="2" name="WordArt 1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32610" y="0"/>
          <a:ext cx="2196451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808080"/>
              </a:solidFill>
              <a:effectLst/>
              <a:latin typeface="Comic Sans MS"/>
            </a:rPr>
            <a:t>2005</a:t>
          </a:r>
        </a:p>
      </xdr:txBody>
    </xdr:sp>
    <xdr:clientData/>
  </xdr:twoCellAnchor>
  <xdr:twoCellAnchor>
    <xdr:from>
      <xdr:col>1</xdr:col>
      <xdr:colOff>327998</xdr:colOff>
      <xdr:row>105</xdr:row>
      <xdr:rowOff>194536</xdr:rowOff>
    </xdr:from>
    <xdr:to>
      <xdr:col>5</xdr:col>
      <xdr:colOff>684434</xdr:colOff>
      <xdr:row>139</xdr:row>
      <xdr:rowOff>103985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GrpSpPr/>
      </xdr:nvGrpSpPr>
      <xdr:grpSpPr>
        <a:xfrm>
          <a:off x="1078092" y="3290161"/>
          <a:ext cx="3356811" cy="8005699"/>
          <a:chOff x="1190849" y="250564"/>
          <a:chExt cx="3359613" cy="7910449"/>
        </a:xfrm>
      </xdr:grpSpPr>
      <xdr:sp macro="" textlink="">
        <xdr:nvSpPr>
          <xdr:cNvPr id="3" name="WordArt 123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977838" y="1207098"/>
            <a:ext cx="1913355" cy="92605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May</a:t>
            </a:r>
          </a:p>
        </xdr:txBody>
      </xdr:sp>
      <xdr:sp macro="" textlink="">
        <xdr:nvSpPr>
          <xdr:cNvPr id="4" name="WordArt 124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774003" y="250564"/>
            <a:ext cx="1901638" cy="820270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April</a:t>
            </a:r>
          </a:p>
        </xdr:txBody>
      </xdr:sp>
      <xdr:sp macro="" textlink="">
        <xdr:nvSpPr>
          <xdr:cNvPr id="5" name="WordArt 127">
            <a:extLst>
              <a:ext uri="{FF2B5EF4-FFF2-40B4-BE49-F238E27FC236}">
                <a16:creationId xmlns:a16="http://schemas.microsoft.com/office/drawing/2014/main" xmlns="" id="{00000000-0008-0000-0100-000005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819723" y="2300792"/>
            <a:ext cx="1911178" cy="652630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June</a:t>
            </a:r>
          </a:p>
        </xdr:txBody>
      </xdr:sp>
      <xdr:sp macro="" textlink="">
        <xdr:nvSpPr>
          <xdr:cNvPr id="6" name="WordArt 128">
            <a:extLst>
              <a:ext uri="{FF2B5EF4-FFF2-40B4-BE49-F238E27FC236}">
                <a16:creationId xmlns:a16="http://schemas.microsoft.com/office/drawing/2014/main" xmlns="" id="{00000000-0008-0000-0100-000006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804483" y="3249706"/>
            <a:ext cx="1901638" cy="842219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July</a:t>
            </a:r>
          </a:p>
        </xdr:txBody>
      </xdr:sp>
      <xdr:sp macro="" textlink="">
        <xdr:nvSpPr>
          <xdr:cNvPr id="7" name="WordArt 129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547308" y="4289164"/>
            <a:ext cx="2751467" cy="887968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August</a:t>
            </a:r>
          </a:p>
        </xdr:txBody>
      </xdr:sp>
      <xdr:sp macro="" textlink="">
        <xdr:nvSpPr>
          <xdr:cNvPr id="8" name="WordArt 130">
            <a:extLst>
              <a:ext uri="{FF2B5EF4-FFF2-40B4-BE49-F238E27FC236}">
                <a16:creationId xmlns:a16="http://schemas.microsoft.com/office/drawing/2014/main" xmlns="" id="{00000000-0008-0000-0100-000008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227044" y="5192358"/>
            <a:ext cx="3323418" cy="964167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September</a:t>
            </a:r>
          </a:p>
        </xdr:txBody>
      </xdr:sp>
      <xdr:sp macro="" textlink="">
        <xdr:nvSpPr>
          <xdr:cNvPr id="9" name="WordArt 131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190849" y="6368975"/>
            <a:ext cx="3130828" cy="858365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October</a:t>
            </a:r>
          </a:p>
        </xdr:txBody>
      </xdr:sp>
      <xdr:sp macro="" textlink="">
        <xdr:nvSpPr>
          <xdr:cNvPr id="10" name="WordArt 132">
            <a:extLst>
              <a:ext uri="{FF2B5EF4-FFF2-40B4-BE49-F238E27FC236}">
                <a16:creationId xmlns:a16="http://schemas.microsoft.com/office/drawing/2014/main" xmlns="" id="{00000000-0008-0000-0100-00000A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227044" y="7424569"/>
            <a:ext cx="3163199" cy="73644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3600" kern="10" spc="0">
                <a:ln w="9525">
                  <a:noFill/>
                  <a:round/>
                  <a:headEnd/>
                  <a:tailEnd/>
                </a:ln>
                <a:solidFill>
                  <a:srgbClr val="C0C0C0">
                    <a:alpha val="50000"/>
                  </a:srgbClr>
                </a:solidFill>
                <a:effectLst/>
                <a:latin typeface="Arial"/>
                <a:cs typeface="Arial"/>
              </a:rPr>
              <a:t>November</a:t>
            </a:r>
          </a:p>
        </xdr:txBody>
      </xdr:sp>
    </xdr:grpSp>
    <xdr:clientData/>
  </xdr:twoCellAnchor>
  <xdr:twoCellAnchor>
    <xdr:from>
      <xdr:col>1</xdr:col>
      <xdr:colOff>318135</xdr:colOff>
      <xdr:row>35</xdr:row>
      <xdr:rowOff>152400</xdr:rowOff>
    </xdr:from>
    <xdr:to>
      <xdr:col>6</xdr:col>
      <xdr:colOff>112406</xdr:colOff>
      <xdr:row>38</xdr:row>
      <xdr:rowOff>121920</xdr:rowOff>
    </xdr:to>
    <xdr:sp macro="" textlink="">
      <xdr:nvSpPr>
        <xdr:cNvPr id="11" name="WordArt 133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27735" y="5819775"/>
          <a:ext cx="2842271" cy="45529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C0C0C0">
                  <a:alpha val="50000"/>
                </a:srgbClr>
              </a:solidFill>
              <a:effectLst/>
              <a:latin typeface="Arial"/>
              <a:cs typeface="Arial"/>
            </a:rPr>
            <a:t>December</a:t>
          </a:r>
        </a:p>
      </xdr:txBody>
    </xdr:sp>
    <xdr:clientData/>
  </xdr:twoCellAnchor>
  <xdr:twoCellAnchor>
    <xdr:from>
      <xdr:col>0</xdr:col>
      <xdr:colOff>160020</xdr:colOff>
      <xdr:row>0</xdr:row>
      <xdr:rowOff>78105</xdr:rowOff>
    </xdr:from>
    <xdr:to>
      <xdr:col>1</xdr:col>
      <xdr:colOff>129540</xdr:colOff>
      <xdr:row>0</xdr:row>
      <xdr:rowOff>224790</xdr:rowOff>
    </xdr:to>
    <xdr:sp macro="" textlink="">
      <xdr:nvSpPr>
        <xdr:cNvPr id="12" name="Text Box 135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160020" y="78105"/>
          <a:ext cx="579120" cy="80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Easter</a:t>
          </a:r>
        </a:p>
      </xdr:txBody>
    </xdr:sp>
    <xdr:clientData/>
  </xdr:twoCellAnchor>
  <xdr:twoCellAnchor>
    <xdr:from>
      <xdr:col>0</xdr:col>
      <xdr:colOff>188595</xdr:colOff>
      <xdr:row>0</xdr:row>
      <xdr:rowOff>0</xdr:rowOff>
    </xdr:from>
    <xdr:to>
      <xdr:col>1</xdr:col>
      <xdr:colOff>68639</xdr:colOff>
      <xdr:row>0</xdr:row>
      <xdr:rowOff>7620</xdr:rowOff>
    </xdr:to>
    <xdr:sp macro="" textlink="">
      <xdr:nvSpPr>
        <xdr:cNvPr id="13" name="Text Box 136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188595" y="0"/>
          <a:ext cx="489644" cy="7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Easter</a:t>
          </a:r>
        </a:p>
      </xdr:txBody>
    </xdr:sp>
    <xdr:clientData/>
  </xdr:twoCellAnchor>
  <xdr:twoCellAnchor>
    <xdr:from>
      <xdr:col>0</xdr:col>
      <xdr:colOff>180975</xdr:colOff>
      <xdr:row>2</xdr:row>
      <xdr:rowOff>45720</xdr:rowOff>
    </xdr:from>
    <xdr:to>
      <xdr:col>1</xdr:col>
      <xdr:colOff>150495</xdr:colOff>
      <xdr:row>3</xdr:row>
      <xdr:rowOff>47625</xdr:rowOff>
    </xdr:to>
    <xdr:sp macro="" textlink="">
      <xdr:nvSpPr>
        <xdr:cNvPr id="14" name="Text Box 156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80975" y="369570"/>
          <a:ext cx="579120" cy="1638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179070</xdr:colOff>
      <xdr:row>17</xdr:row>
      <xdr:rowOff>81915</xdr:rowOff>
    </xdr:from>
    <xdr:to>
      <xdr:col>1</xdr:col>
      <xdr:colOff>148590</xdr:colOff>
      <xdr:row>17</xdr:row>
      <xdr:rowOff>226695</xdr:rowOff>
    </xdr:to>
    <xdr:sp macro="" textlink="">
      <xdr:nvSpPr>
        <xdr:cNvPr id="15" name="Text Box 156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179070" y="2834640"/>
          <a:ext cx="579120" cy="78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158115</xdr:colOff>
      <xdr:row>5</xdr:row>
      <xdr:rowOff>45720</xdr:rowOff>
    </xdr:from>
    <xdr:to>
      <xdr:col>1</xdr:col>
      <xdr:colOff>137262</xdr:colOff>
      <xdr:row>5</xdr:row>
      <xdr:rowOff>190500</xdr:rowOff>
    </xdr:to>
    <xdr:sp macro="" textlink="">
      <xdr:nvSpPr>
        <xdr:cNvPr id="16" name="Text Box 156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158115" y="855345"/>
          <a:ext cx="588747" cy="116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161925</xdr:colOff>
      <xdr:row>14</xdr:row>
      <xdr:rowOff>87630</xdr:rowOff>
    </xdr:from>
    <xdr:to>
      <xdr:col>1</xdr:col>
      <xdr:colOff>131445</xdr:colOff>
      <xdr:row>14</xdr:row>
      <xdr:rowOff>224790</xdr:rowOff>
    </xdr:to>
    <xdr:sp macro="" textlink="">
      <xdr:nvSpPr>
        <xdr:cNvPr id="17" name="Text Box 15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161925" y="2354580"/>
          <a:ext cx="579120" cy="704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171450</xdr:colOff>
      <xdr:row>9</xdr:row>
      <xdr:rowOff>97155</xdr:rowOff>
    </xdr:from>
    <xdr:to>
      <xdr:col>1</xdr:col>
      <xdr:colOff>140970</xdr:colOff>
      <xdr:row>9</xdr:row>
      <xdr:rowOff>234315</xdr:rowOff>
    </xdr:to>
    <xdr:sp macro="" textlink="">
      <xdr:nvSpPr>
        <xdr:cNvPr id="18" name="Text Box 156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171450" y="1554480"/>
          <a:ext cx="579120" cy="60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150495</xdr:colOff>
      <xdr:row>12</xdr:row>
      <xdr:rowOff>0</xdr:rowOff>
    </xdr:from>
    <xdr:to>
      <xdr:col>1</xdr:col>
      <xdr:colOff>112415</xdr:colOff>
      <xdr:row>12</xdr:row>
      <xdr:rowOff>139330</xdr:rowOff>
    </xdr:to>
    <xdr:sp macro="" textlink="">
      <xdr:nvSpPr>
        <xdr:cNvPr id="19" name="Text Box 156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150495" y="1943100"/>
          <a:ext cx="571520" cy="139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18</xdr:col>
      <xdr:colOff>43815</xdr:colOff>
      <xdr:row>0</xdr:row>
      <xdr:rowOff>83820</xdr:rowOff>
    </xdr:from>
    <xdr:to>
      <xdr:col>18</xdr:col>
      <xdr:colOff>775437</xdr:colOff>
      <xdr:row>0</xdr:row>
      <xdr:rowOff>228600</xdr:rowOff>
    </xdr:to>
    <xdr:sp macro="" textlink="">
      <xdr:nvSpPr>
        <xdr:cNvPr id="20" name="Text Box 156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187815" y="83820"/>
          <a:ext cx="569697" cy="78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IA</a:t>
          </a:r>
          <a:r>
            <a:rPr lang="en-US" sz="800" b="0" i="0" strike="noStrike" baseline="0">
              <a:solidFill>
                <a:srgbClr val="0000FF"/>
              </a:solidFill>
              <a:latin typeface="Arial"/>
              <a:cs typeface="Arial"/>
            </a:rPr>
            <a:t> Challenge</a:t>
          </a:r>
          <a:endParaRPr lang="en-US" sz="8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245745</xdr:colOff>
      <xdr:row>12</xdr:row>
      <xdr:rowOff>97155</xdr:rowOff>
    </xdr:from>
    <xdr:to>
      <xdr:col>1</xdr:col>
      <xdr:colOff>116147</xdr:colOff>
      <xdr:row>12</xdr:row>
      <xdr:rowOff>236220</xdr:rowOff>
    </xdr:to>
    <xdr:sp macro="" textlink="">
      <xdr:nvSpPr>
        <xdr:cNvPr id="21" name="Text Box 121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45745" y="2040255"/>
          <a:ext cx="480002" cy="62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Fathers Day</a:t>
          </a:r>
        </a:p>
      </xdr:txBody>
    </xdr:sp>
    <xdr:clientData/>
  </xdr:twoCellAnchor>
  <xdr:twoCellAnchor>
    <xdr:from>
      <xdr:col>4</xdr:col>
      <xdr:colOff>161925</xdr:colOff>
      <xdr:row>11</xdr:row>
      <xdr:rowOff>114300</xdr:rowOff>
    </xdr:from>
    <xdr:to>
      <xdr:col>7</xdr:col>
      <xdr:colOff>7621</xdr:colOff>
      <xdr:row>12</xdr:row>
      <xdr:rowOff>9525</xdr:rowOff>
    </xdr:to>
    <xdr:sp macro="" textlink="">
      <xdr:nvSpPr>
        <xdr:cNvPr id="22" name="Text Box 139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600325" y="1895475"/>
          <a:ext cx="1674496" cy="57150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June Sprints</a:t>
          </a:r>
        </a:p>
      </xdr:txBody>
    </xdr:sp>
    <xdr:clientData/>
  </xdr:twoCellAnchor>
  <xdr:twoCellAnchor>
    <xdr:from>
      <xdr:col>16</xdr:col>
      <xdr:colOff>552450</xdr:colOff>
      <xdr:row>0</xdr:row>
      <xdr:rowOff>95250</xdr:rowOff>
    </xdr:from>
    <xdr:to>
      <xdr:col>17</xdr:col>
      <xdr:colOff>575369</xdr:colOff>
      <xdr:row>0</xdr:row>
      <xdr:rowOff>224790</xdr:rowOff>
    </xdr:to>
    <xdr:sp macro="" textlink="">
      <xdr:nvSpPr>
        <xdr:cNvPr id="23" name="Text Box 143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8477250" y="95250"/>
          <a:ext cx="632519" cy="62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BRIC</a:t>
          </a:r>
        </a:p>
      </xdr:txBody>
    </xdr:sp>
    <xdr:clientData/>
  </xdr:twoCellAnchor>
  <xdr:twoCellAnchor>
    <xdr:from>
      <xdr:col>0</xdr:col>
      <xdr:colOff>188595</xdr:colOff>
      <xdr:row>25</xdr:row>
      <xdr:rowOff>45720</xdr:rowOff>
    </xdr:from>
    <xdr:to>
      <xdr:col>1</xdr:col>
      <xdr:colOff>158115</xdr:colOff>
      <xdr:row>25</xdr:row>
      <xdr:rowOff>190500</xdr:rowOff>
    </xdr:to>
    <xdr:sp macro="" textlink="">
      <xdr:nvSpPr>
        <xdr:cNvPr id="24" name="Text Box 156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188595" y="4093845"/>
          <a:ext cx="579120" cy="116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160020</xdr:colOff>
      <xdr:row>23</xdr:row>
      <xdr:rowOff>81915</xdr:rowOff>
    </xdr:from>
    <xdr:to>
      <xdr:col>1</xdr:col>
      <xdr:colOff>129540</xdr:colOff>
      <xdr:row>23</xdr:row>
      <xdr:rowOff>234315</xdr:rowOff>
    </xdr:to>
    <xdr:sp macro="" textlink="">
      <xdr:nvSpPr>
        <xdr:cNvPr id="25" name="Text Box 156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160020" y="3806190"/>
          <a:ext cx="57912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0</xdr:col>
      <xdr:colOff>188595</xdr:colOff>
      <xdr:row>28</xdr:row>
      <xdr:rowOff>38100</xdr:rowOff>
    </xdr:from>
    <xdr:to>
      <xdr:col>1</xdr:col>
      <xdr:colOff>158115</xdr:colOff>
      <xdr:row>28</xdr:row>
      <xdr:rowOff>182880</xdr:rowOff>
    </xdr:to>
    <xdr:sp macro="" textlink="">
      <xdr:nvSpPr>
        <xdr:cNvPr id="26" name="Text Box 156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188595" y="4572000"/>
          <a:ext cx="579120" cy="125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1</xdr:col>
      <xdr:colOff>162008</xdr:colOff>
      <xdr:row>9</xdr:row>
      <xdr:rowOff>93345</xdr:rowOff>
    </xdr:from>
    <xdr:to>
      <xdr:col>2</xdr:col>
      <xdr:colOff>123928</xdr:colOff>
      <xdr:row>10</xdr:row>
      <xdr:rowOff>0</xdr:rowOff>
    </xdr:to>
    <xdr:sp macro="" textlink="">
      <xdr:nvSpPr>
        <xdr:cNvPr id="27" name="Text Box 15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771608" y="1550670"/>
          <a:ext cx="571520" cy="68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9</xdr:col>
      <xdr:colOff>240983</xdr:colOff>
      <xdr:row>65</xdr:row>
      <xdr:rowOff>229552</xdr:rowOff>
    </xdr:from>
    <xdr:to>
      <xdr:col>11</xdr:col>
      <xdr:colOff>55722</xdr:colOff>
      <xdr:row>66</xdr:row>
      <xdr:rowOff>138112</xdr:rowOff>
    </xdr:to>
    <xdr:sp macro="" textlink="">
      <xdr:nvSpPr>
        <xdr:cNvPr id="28" name="Text Box 135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727383" y="10688002"/>
          <a:ext cx="1033939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Mother's Day</a:t>
          </a:r>
        </a:p>
      </xdr:txBody>
    </xdr:sp>
    <xdr:clientData/>
  </xdr:twoCellAnchor>
  <xdr:twoCellAnchor>
    <xdr:from>
      <xdr:col>0</xdr:col>
      <xdr:colOff>83820</xdr:colOff>
      <xdr:row>6</xdr:row>
      <xdr:rowOff>68580</xdr:rowOff>
    </xdr:from>
    <xdr:to>
      <xdr:col>1</xdr:col>
      <xdr:colOff>53340</xdr:colOff>
      <xdr:row>6</xdr:row>
      <xdr:rowOff>215265</xdr:rowOff>
    </xdr:to>
    <xdr:sp macro="" textlink="">
      <xdr:nvSpPr>
        <xdr:cNvPr id="29" name="Text Box 135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83820" y="1040130"/>
          <a:ext cx="579120" cy="895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Mother's Day</a:t>
          </a:r>
        </a:p>
      </xdr:txBody>
    </xdr:sp>
    <xdr:clientData/>
  </xdr:twoCellAnchor>
  <xdr:twoCellAnchor>
    <xdr:from>
      <xdr:col>0</xdr:col>
      <xdr:colOff>1</xdr:colOff>
      <xdr:row>12</xdr:row>
      <xdr:rowOff>133350</xdr:rowOff>
    </xdr:from>
    <xdr:to>
      <xdr:col>0</xdr:col>
      <xdr:colOff>266701</xdr:colOff>
      <xdr:row>13</xdr:row>
      <xdr:rowOff>9525</xdr:rowOff>
    </xdr:to>
    <xdr:sp macro="" textlink="">
      <xdr:nvSpPr>
        <xdr:cNvPr id="30" name="Text Box 13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1" y="2076450"/>
          <a:ext cx="266700" cy="38100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FF"/>
              </a:solidFill>
              <a:latin typeface="Arial"/>
              <a:cs typeface="Arial"/>
            </a:rPr>
            <a:t>June Sprints</a:t>
          </a:r>
        </a:p>
      </xdr:txBody>
    </xdr:sp>
    <xdr:clientData/>
  </xdr:twoCellAnchor>
  <xdr:twoCellAnchor>
    <xdr:from>
      <xdr:col>1</xdr:col>
      <xdr:colOff>217170</xdr:colOff>
      <xdr:row>28</xdr:row>
      <xdr:rowOff>1904</xdr:rowOff>
    </xdr:from>
    <xdr:to>
      <xdr:col>2</xdr:col>
      <xdr:colOff>87572</xdr:colOff>
      <xdr:row>29</xdr:row>
      <xdr:rowOff>85725</xdr:rowOff>
    </xdr:to>
    <xdr:sp macro="" textlink="">
      <xdr:nvSpPr>
        <xdr:cNvPr id="31" name="Text Box 121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826770" y="4535804"/>
          <a:ext cx="480002" cy="2457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Columbus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Day</a:t>
          </a:r>
        </a:p>
      </xdr:txBody>
    </xdr:sp>
    <xdr:clientData/>
  </xdr:twoCellAnchor>
  <xdr:twoCellAnchor>
    <xdr:from>
      <xdr:col>0</xdr:col>
      <xdr:colOff>124301</xdr:colOff>
      <xdr:row>20</xdr:row>
      <xdr:rowOff>120015</xdr:rowOff>
    </xdr:from>
    <xdr:to>
      <xdr:col>1</xdr:col>
      <xdr:colOff>93821</xdr:colOff>
      <xdr:row>21</xdr:row>
      <xdr:rowOff>26670</xdr:rowOff>
    </xdr:to>
    <xdr:sp macro="" textlink="">
      <xdr:nvSpPr>
        <xdr:cNvPr id="32" name="Text Box 156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24301" y="3358515"/>
          <a:ext cx="579120" cy="68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</a:t>
          </a:r>
        </a:p>
      </xdr:txBody>
    </xdr:sp>
    <xdr:clientData/>
  </xdr:twoCellAnchor>
  <xdr:twoCellAnchor>
    <xdr:from>
      <xdr:col>1</xdr:col>
      <xdr:colOff>126682</xdr:colOff>
      <xdr:row>23</xdr:row>
      <xdr:rowOff>73342</xdr:rowOff>
    </xdr:from>
    <xdr:to>
      <xdr:col>1</xdr:col>
      <xdr:colOff>747178</xdr:colOff>
      <xdr:row>23</xdr:row>
      <xdr:rowOff>212407</xdr:rowOff>
    </xdr:to>
    <xdr:sp macro="" textlink="">
      <xdr:nvSpPr>
        <xdr:cNvPr id="33" name="Text Box 121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736282" y="3797617"/>
          <a:ext cx="487146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Labor</a:t>
          </a:r>
          <a:r>
            <a:rPr lang="en-US" sz="8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Day</a:t>
          </a:r>
        </a:p>
      </xdr:txBody>
    </xdr:sp>
    <xdr:clientData/>
  </xdr:twoCellAnchor>
  <xdr:twoCellAnchor>
    <xdr:from>
      <xdr:col>1</xdr:col>
      <xdr:colOff>114776</xdr:colOff>
      <xdr:row>14</xdr:row>
      <xdr:rowOff>85249</xdr:rowOff>
    </xdr:from>
    <xdr:to>
      <xdr:col>1</xdr:col>
      <xdr:colOff>735272</xdr:colOff>
      <xdr:row>14</xdr:row>
      <xdr:rowOff>224314</xdr:rowOff>
    </xdr:to>
    <xdr:sp macro="" textlink="">
      <xdr:nvSpPr>
        <xdr:cNvPr id="34" name="Text Box 121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724376" y="2352199"/>
          <a:ext cx="496671" cy="72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Independence Day</a:t>
          </a:r>
        </a:p>
      </xdr:txBody>
    </xdr:sp>
    <xdr:clientData/>
  </xdr:twoCellAnchor>
  <xdr:twoCellAnchor>
    <xdr:from>
      <xdr:col>0</xdr:col>
      <xdr:colOff>169069</xdr:colOff>
      <xdr:row>4</xdr:row>
      <xdr:rowOff>0</xdr:rowOff>
    </xdr:from>
    <xdr:to>
      <xdr:col>1</xdr:col>
      <xdr:colOff>138589</xdr:colOff>
      <xdr:row>4</xdr:row>
      <xdr:rowOff>214312</xdr:rowOff>
    </xdr:to>
    <xdr:sp macro="" textlink="">
      <xdr:nvSpPr>
        <xdr:cNvPr id="35" name="Text Box 156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169069" y="647700"/>
          <a:ext cx="579120" cy="1666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GRR??</a:t>
          </a:r>
        </a:p>
      </xdr:txBody>
    </xdr:sp>
    <xdr:clientData/>
  </xdr:twoCellAnchor>
  <xdr:twoCellAnchor>
    <xdr:from>
      <xdr:col>0</xdr:col>
      <xdr:colOff>180975</xdr:colOff>
      <xdr:row>7</xdr:row>
      <xdr:rowOff>0</xdr:rowOff>
    </xdr:from>
    <xdr:to>
      <xdr:col>1</xdr:col>
      <xdr:colOff>150495</xdr:colOff>
      <xdr:row>7</xdr:row>
      <xdr:rowOff>214312</xdr:rowOff>
    </xdr:to>
    <xdr:sp macro="" textlink="">
      <xdr:nvSpPr>
        <xdr:cNvPr id="36" name="Text Box 156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80975" y="1133475"/>
          <a:ext cx="579120" cy="1666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GRR??</a:t>
          </a:r>
        </a:p>
      </xdr:txBody>
    </xdr:sp>
    <xdr:clientData/>
  </xdr:twoCellAnchor>
  <xdr:twoCellAnchor>
    <xdr:from>
      <xdr:col>0</xdr:col>
      <xdr:colOff>214312</xdr:colOff>
      <xdr:row>105</xdr:row>
      <xdr:rowOff>47624</xdr:rowOff>
    </xdr:from>
    <xdr:to>
      <xdr:col>1</xdr:col>
      <xdr:colOff>183832</xdr:colOff>
      <xdr:row>105</xdr:row>
      <xdr:rowOff>184784</xdr:rowOff>
    </xdr:to>
    <xdr:sp macro="" textlink="">
      <xdr:nvSpPr>
        <xdr:cNvPr id="38" name="Text Box 156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14312" y="25050749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Easter</a:t>
          </a:r>
        </a:p>
      </xdr:txBody>
    </xdr:sp>
    <xdr:clientData/>
  </xdr:twoCellAnchor>
  <xdr:twoCellAnchor>
    <xdr:from>
      <xdr:col>0</xdr:col>
      <xdr:colOff>161505</xdr:colOff>
      <xdr:row>108</xdr:row>
      <xdr:rowOff>113879</xdr:rowOff>
    </xdr:from>
    <xdr:to>
      <xdr:col>1</xdr:col>
      <xdr:colOff>144333</xdr:colOff>
      <xdr:row>109</xdr:row>
      <xdr:rowOff>15715</xdr:rowOff>
    </xdr:to>
    <xdr:sp macro="" textlink="">
      <xdr:nvSpPr>
        <xdr:cNvPr id="39" name="Text Box 156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61505" y="25528820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1</a:t>
          </a:r>
        </a:p>
      </xdr:txBody>
    </xdr:sp>
    <xdr:clientData/>
  </xdr:twoCellAnchor>
  <xdr:twoCellAnchor>
    <xdr:from>
      <xdr:col>0</xdr:col>
      <xdr:colOff>150018</xdr:colOff>
      <xdr:row>111</xdr:row>
      <xdr:rowOff>90487</xdr:rowOff>
    </xdr:from>
    <xdr:to>
      <xdr:col>1</xdr:col>
      <xdr:colOff>119538</xdr:colOff>
      <xdr:row>111</xdr:row>
      <xdr:rowOff>227647</xdr:rowOff>
    </xdr:to>
    <xdr:sp macro="" textlink="">
      <xdr:nvSpPr>
        <xdr:cNvPr id="40" name="Text Box 156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50018" y="26522362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Mothers Day</a:t>
          </a:r>
        </a:p>
      </xdr:txBody>
    </xdr:sp>
    <xdr:clientData/>
  </xdr:twoCellAnchor>
  <xdr:twoCellAnchor>
    <xdr:from>
      <xdr:col>3</xdr:col>
      <xdr:colOff>97631</xdr:colOff>
      <xdr:row>127</xdr:row>
      <xdr:rowOff>26191</xdr:rowOff>
    </xdr:from>
    <xdr:to>
      <xdr:col>4</xdr:col>
      <xdr:colOff>67151</xdr:colOff>
      <xdr:row>127</xdr:row>
      <xdr:rowOff>163351</xdr:rowOff>
    </xdr:to>
    <xdr:sp macro="" textlink="">
      <xdr:nvSpPr>
        <xdr:cNvPr id="42" name="Text Box 156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347912" y="30268066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Solo Nationals</a:t>
          </a:r>
        </a:p>
      </xdr:txBody>
    </xdr:sp>
    <xdr:clientData/>
  </xdr:twoCellAnchor>
  <xdr:twoCellAnchor>
    <xdr:from>
      <xdr:col>6</xdr:col>
      <xdr:colOff>130968</xdr:colOff>
      <xdr:row>129</xdr:row>
      <xdr:rowOff>95251</xdr:rowOff>
    </xdr:from>
    <xdr:to>
      <xdr:col>7</xdr:col>
      <xdr:colOff>100489</xdr:colOff>
      <xdr:row>129</xdr:row>
      <xdr:rowOff>232411</xdr:rowOff>
    </xdr:to>
    <xdr:sp macro="" textlink="">
      <xdr:nvSpPr>
        <xdr:cNvPr id="43" name="Text Box 156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4631531" y="30813376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IA Challenge</a:t>
          </a:r>
        </a:p>
      </xdr:txBody>
    </xdr:sp>
    <xdr:clientData/>
  </xdr:twoCellAnchor>
  <xdr:twoCellAnchor>
    <xdr:from>
      <xdr:col>0</xdr:col>
      <xdr:colOff>140493</xdr:colOff>
      <xdr:row>130</xdr:row>
      <xdr:rowOff>80963</xdr:rowOff>
    </xdr:from>
    <xdr:to>
      <xdr:col>1</xdr:col>
      <xdr:colOff>110013</xdr:colOff>
      <xdr:row>130</xdr:row>
      <xdr:rowOff>218123</xdr:rowOff>
    </xdr:to>
    <xdr:sp macro="" textlink="">
      <xdr:nvSpPr>
        <xdr:cNvPr id="44" name="Text Box 156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40493" y="31037213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IA Challenge</a:t>
          </a:r>
        </a:p>
      </xdr:txBody>
    </xdr:sp>
    <xdr:clientData/>
  </xdr:twoCellAnchor>
  <xdr:twoCellAnchor>
    <xdr:from>
      <xdr:col>6</xdr:col>
      <xdr:colOff>154780</xdr:colOff>
      <xdr:row>130</xdr:row>
      <xdr:rowOff>71437</xdr:rowOff>
    </xdr:from>
    <xdr:to>
      <xdr:col>7</xdr:col>
      <xdr:colOff>124301</xdr:colOff>
      <xdr:row>130</xdr:row>
      <xdr:rowOff>208597</xdr:rowOff>
    </xdr:to>
    <xdr:sp macro="" textlink="">
      <xdr:nvSpPr>
        <xdr:cNvPr id="46" name="Text Box 156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4655343" y="31027687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GR</a:t>
          </a:r>
        </a:p>
      </xdr:txBody>
    </xdr:sp>
    <xdr:clientData/>
  </xdr:twoCellAnchor>
  <xdr:twoCellAnchor>
    <xdr:from>
      <xdr:col>4</xdr:col>
      <xdr:colOff>152399</xdr:colOff>
      <xdr:row>118</xdr:row>
      <xdr:rowOff>57150</xdr:rowOff>
    </xdr:from>
    <xdr:to>
      <xdr:col>5</xdr:col>
      <xdr:colOff>121919</xdr:colOff>
      <xdr:row>118</xdr:row>
      <xdr:rowOff>194310</xdr:rowOff>
    </xdr:to>
    <xdr:sp macro="" textlink="">
      <xdr:nvSpPr>
        <xdr:cNvPr id="47" name="Text Box 156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3152774" y="28155900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RA</a:t>
          </a:r>
        </a:p>
      </xdr:txBody>
    </xdr:sp>
    <xdr:clientData/>
  </xdr:twoCellAnchor>
  <xdr:twoCellAnchor>
    <xdr:from>
      <xdr:col>6</xdr:col>
      <xdr:colOff>126205</xdr:colOff>
      <xdr:row>113</xdr:row>
      <xdr:rowOff>66674</xdr:rowOff>
    </xdr:from>
    <xdr:to>
      <xdr:col>7</xdr:col>
      <xdr:colOff>95726</xdr:colOff>
      <xdr:row>113</xdr:row>
      <xdr:rowOff>203834</xdr:rowOff>
    </xdr:to>
    <xdr:sp macro="" textlink="">
      <xdr:nvSpPr>
        <xdr:cNvPr id="48" name="Text Box 156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4626768" y="26974799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ACC</a:t>
          </a:r>
        </a:p>
      </xdr:txBody>
    </xdr:sp>
    <xdr:clientData/>
  </xdr:twoCellAnchor>
  <xdr:twoCellAnchor>
    <xdr:from>
      <xdr:col>0</xdr:col>
      <xdr:colOff>195262</xdr:colOff>
      <xdr:row>109</xdr:row>
      <xdr:rowOff>76200</xdr:rowOff>
    </xdr:from>
    <xdr:to>
      <xdr:col>1</xdr:col>
      <xdr:colOff>164782</xdr:colOff>
      <xdr:row>109</xdr:row>
      <xdr:rowOff>213360</xdr:rowOff>
    </xdr:to>
    <xdr:sp macro="" textlink="">
      <xdr:nvSpPr>
        <xdr:cNvPr id="49" name="Text Box 156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195262" y="26031825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RA</a:t>
          </a:r>
        </a:p>
      </xdr:txBody>
    </xdr:sp>
    <xdr:clientData/>
  </xdr:twoCellAnchor>
  <xdr:twoCellAnchor>
    <xdr:from>
      <xdr:col>6</xdr:col>
      <xdr:colOff>228599</xdr:colOff>
      <xdr:row>108</xdr:row>
      <xdr:rowOff>61912</xdr:rowOff>
    </xdr:from>
    <xdr:to>
      <xdr:col>7</xdr:col>
      <xdr:colOff>198120</xdr:colOff>
      <xdr:row>108</xdr:row>
      <xdr:rowOff>199072</xdr:rowOff>
    </xdr:to>
    <xdr:sp macro="" textlink="">
      <xdr:nvSpPr>
        <xdr:cNvPr id="50" name="Text Box 156"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4729162" y="25779412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RA</a:t>
          </a:r>
        </a:p>
      </xdr:txBody>
    </xdr:sp>
    <xdr:clientData/>
  </xdr:twoCellAnchor>
  <xdr:twoCellAnchor>
    <xdr:from>
      <xdr:col>0</xdr:col>
      <xdr:colOff>147656</xdr:colOff>
      <xdr:row>114</xdr:row>
      <xdr:rowOff>76197</xdr:rowOff>
    </xdr:from>
    <xdr:to>
      <xdr:col>1</xdr:col>
      <xdr:colOff>117176</xdr:colOff>
      <xdr:row>114</xdr:row>
      <xdr:rowOff>213357</xdr:rowOff>
    </xdr:to>
    <xdr:sp macro="" textlink="">
      <xdr:nvSpPr>
        <xdr:cNvPr id="51" name="Text Box 156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147656" y="27222447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ACC</a:t>
          </a:r>
        </a:p>
      </xdr:txBody>
    </xdr:sp>
    <xdr:clientData/>
  </xdr:twoCellAnchor>
  <xdr:twoCellAnchor>
    <xdr:from>
      <xdr:col>5</xdr:col>
      <xdr:colOff>126205</xdr:colOff>
      <xdr:row>118</xdr:row>
      <xdr:rowOff>66675</xdr:rowOff>
    </xdr:from>
    <xdr:to>
      <xdr:col>6</xdr:col>
      <xdr:colOff>95725</xdr:colOff>
      <xdr:row>118</xdr:row>
      <xdr:rowOff>203835</xdr:rowOff>
    </xdr:to>
    <xdr:sp macro="" textlink="">
      <xdr:nvSpPr>
        <xdr:cNvPr id="55" name="Text Box 156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3876674" y="28165425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RA</a:t>
          </a:r>
        </a:p>
      </xdr:txBody>
    </xdr:sp>
    <xdr:clientData/>
  </xdr:twoCellAnchor>
  <xdr:twoCellAnchor>
    <xdr:from>
      <xdr:col>6</xdr:col>
      <xdr:colOff>171448</xdr:colOff>
      <xdr:row>118</xdr:row>
      <xdr:rowOff>52388</xdr:rowOff>
    </xdr:from>
    <xdr:to>
      <xdr:col>7</xdr:col>
      <xdr:colOff>140969</xdr:colOff>
      <xdr:row>118</xdr:row>
      <xdr:rowOff>189548</xdr:rowOff>
    </xdr:to>
    <xdr:sp macro="" textlink="">
      <xdr:nvSpPr>
        <xdr:cNvPr id="56" name="Text Box 156"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4672011" y="28151138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RA</a:t>
          </a:r>
        </a:p>
      </xdr:txBody>
    </xdr:sp>
    <xdr:clientData/>
  </xdr:twoCellAnchor>
  <xdr:twoCellAnchor>
    <xdr:from>
      <xdr:col>0</xdr:col>
      <xdr:colOff>145255</xdr:colOff>
      <xdr:row>119</xdr:row>
      <xdr:rowOff>73819</xdr:rowOff>
    </xdr:from>
    <xdr:to>
      <xdr:col>1</xdr:col>
      <xdr:colOff>114775</xdr:colOff>
      <xdr:row>119</xdr:row>
      <xdr:rowOff>210979</xdr:rowOff>
    </xdr:to>
    <xdr:sp macro="" textlink="">
      <xdr:nvSpPr>
        <xdr:cNvPr id="57" name="Text Box 156"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145255" y="28410694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RA</a:t>
          </a:r>
        </a:p>
      </xdr:txBody>
    </xdr:sp>
    <xdr:clientData/>
  </xdr:twoCellAnchor>
  <xdr:twoCellAnchor>
    <xdr:from>
      <xdr:col>6</xdr:col>
      <xdr:colOff>180273</xdr:colOff>
      <xdr:row>125</xdr:row>
      <xdr:rowOff>95530</xdr:rowOff>
    </xdr:from>
    <xdr:to>
      <xdr:col>7</xdr:col>
      <xdr:colOff>149794</xdr:colOff>
      <xdr:row>125</xdr:row>
      <xdr:rowOff>232690</xdr:rowOff>
    </xdr:to>
    <xdr:sp macro="" textlink="">
      <xdr:nvSpPr>
        <xdr:cNvPr id="58" name="Text Box 156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4685038" y="29510971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BFR</a:t>
          </a:r>
        </a:p>
      </xdr:txBody>
    </xdr:sp>
    <xdr:clientData/>
  </xdr:twoCellAnchor>
  <xdr:twoCellAnchor>
    <xdr:from>
      <xdr:col>0</xdr:col>
      <xdr:colOff>167387</xdr:colOff>
      <xdr:row>126</xdr:row>
      <xdr:rowOff>92450</xdr:rowOff>
    </xdr:from>
    <xdr:to>
      <xdr:col>1</xdr:col>
      <xdr:colOff>136907</xdr:colOff>
      <xdr:row>126</xdr:row>
      <xdr:rowOff>229610</xdr:rowOff>
    </xdr:to>
    <xdr:sp macro="" textlink="">
      <xdr:nvSpPr>
        <xdr:cNvPr id="59" name="Text Box 156"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167387" y="29743215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BFR</a:t>
          </a:r>
        </a:p>
      </xdr:txBody>
    </xdr:sp>
    <xdr:clientData/>
  </xdr:twoCellAnchor>
  <xdr:twoCellAnchor>
    <xdr:from>
      <xdr:col>0</xdr:col>
      <xdr:colOff>188118</xdr:colOff>
      <xdr:row>131</xdr:row>
      <xdr:rowOff>69056</xdr:rowOff>
    </xdr:from>
    <xdr:to>
      <xdr:col>1</xdr:col>
      <xdr:colOff>157638</xdr:colOff>
      <xdr:row>131</xdr:row>
      <xdr:rowOff>206216</xdr:rowOff>
    </xdr:to>
    <xdr:sp macro="" textlink="">
      <xdr:nvSpPr>
        <xdr:cNvPr id="60" name="Text Box 156"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188118" y="31263431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NWSC GR</a:t>
          </a:r>
        </a:p>
      </xdr:txBody>
    </xdr:sp>
    <xdr:clientData/>
  </xdr:twoCellAnchor>
  <xdr:twoCellAnchor>
    <xdr:from>
      <xdr:col>0</xdr:col>
      <xdr:colOff>220055</xdr:colOff>
      <xdr:row>110</xdr:row>
      <xdr:rowOff>98191</xdr:rowOff>
    </xdr:from>
    <xdr:to>
      <xdr:col>1</xdr:col>
      <xdr:colOff>195880</xdr:colOff>
      <xdr:row>110</xdr:row>
      <xdr:rowOff>232550</xdr:rowOff>
    </xdr:to>
    <xdr:sp macro="" textlink="">
      <xdr:nvSpPr>
        <xdr:cNvPr id="62" name="Text Box 156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20055" y="25983779"/>
          <a:ext cx="726619" cy="1343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2</a:t>
          </a:r>
        </a:p>
      </xdr:txBody>
    </xdr:sp>
    <xdr:clientData/>
  </xdr:twoCellAnchor>
  <xdr:twoCellAnchor>
    <xdr:from>
      <xdr:col>0</xdr:col>
      <xdr:colOff>215572</xdr:colOff>
      <xdr:row>113</xdr:row>
      <xdr:rowOff>102113</xdr:rowOff>
    </xdr:from>
    <xdr:to>
      <xdr:col>1</xdr:col>
      <xdr:colOff>191397</xdr:colOff>
      <xdr:row>114</xdr:row>
      <xdr:rowOff>1148</xdr:rowOff>
    </xdr:to>
    <xdr:sp macro="" textlink="">
      <xdr:nvSpPr>
        <xdr:cNvPr id="63" name="Text Box 156"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15572" y="26693672"/>
          <a:ext cx="726619" cy="1343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3</a:t>
          </a:r>
        </a:p>
      </xdr:txBody>
    </xdr:sp>
    <xdr:clientData/>
  </xdr:twoCellAnchor>
  <xdr:twoCellAnchor>
    <xdr:from>
      <xdr:col>1</xdr:col>
      <xdr:colOff>188677</xdr:colOff>
      <xdr:row>113</xdr:row>
      <xdr:rowOff>5181</xdr:rowOff>
    </xdr:from>
    <xdr:to>
      <xdr:col>2</xdr:col>
      <xdr:colOff>171505</xdr:colOff>
      <xdr:row>113</xdr:row>
      <xdr:rowOff>142341</xdr:rowOff>
    </xdr:to>
    <xdr:sp macro="" textlink="">
      <xdr:nvSpPr>
        <xdr:cNvPr id="64" name="Text Box 156"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939471" y="26596740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4</a:t>
          </a:r>
        </a:p>
      </xdr:txBody>
    </xdr:sp>
    <xdr:clientData/>
  </xdr:twoCellAnchor>
  <xdr:twoCellAnchor>
    <xdr:from>
      <xdr:col>0</xdr:col>
      <xdr:colOff>146377</xdr:colOff>
      <xdr:row>116</xdr:row>
      <xdr:rowOff>11906</xdr:rowOff>
    </xdr:from>
    <xdr:to>
      <xdr:col>1</xdr:col>
      <xdr:colOff>122200</xdr:colOff>
      <xdr:row>116</xdr:row>
      <xdr:rowOff>146265</xdr:rowOff>
    </xdr:to>
    <xdr:sp macro="" textlink="">
      <xdr:nvSpPr>
        <xdr:cNvPr id="65" name="Text Box 156"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146377" y="27309435"/>
          <a:ext cx="726617" cy="1343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5</a:t>
          </a:r>
        </a:p>
      </xdr:txBody>
    </xdr:sp>
    <xdr:clientData/>
  </xdr:twoCellAnchor>
  <xdr:twoCellAnchor>
    <xdr:from>
      <xdr:col>0</xdr:col>
      <xdr:colOff>209130</xdr:colOff>
      <xdr:row>118</xdr:row>
      <xdr:rowOff>49445</xdr:rowOff>
    </xdr:from>
    <xdr:to>
      <xdr:col>1</xdr:col>
      <xdr:colOff>184953</xdr:colOff>
      <xdr:row>118</xdr:row>
      <xdr:rowOff>183803</xdr:rowOff>
    </xdr:to>
    <xdr:sp macro="" textlink="">
      <xdr:nvSpPr>
        <xdr:cNvPr id="66" name="Text Box 156"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09130" y="27817621"/>
          <a:ext cx="726617" cy="1343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6</a:t>
          </a:r>
        </a:p>
      </xdr:txBody>
    </xdr:sp>
    <xdr:clientData/>
  </xdr:twoCellAnchor>
  <xdr:twoCellAnchor>
    <xdr:from>
      <xdr:col>0</xdr:col>
      <xdr:colOff>249471</xdr:colOff>
      <xdr:row>121</xdr:row>
      <xdr:rowOff>42161</xdr:rowOff>
    </xdr:from>
    <xdr:to>
      <xdr:col>1</xdr:col>
      <xdr:colOff>232298</xdr:colOff>
      <xdr:row>121</xdr:row>
      <xdr:rowOff>179321</xdr:rowOff>
    </xdr:to>
    <xdr:sp macro="" textlink="">
      <xdr:nvSpPr>
        <xdr:cNvPr id="67" name="Text Box 156"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49471" y="28516308"/>
          <a:ext cx="733621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7</a:t>
          </a:r>
        </a:p>
      </xdr:txBody>
    </xdr:sp>
    <xdr:clientData/>
  </xdr:twoCellAnchor>
  <xdr:twoCellAnchor>
    <xdr:from>
      <xdr:col>0</xdr:col>
      <xdr:colOff>274404</xdr:colOff>
      <xdr:row>124</xdr:row>
      <xdr:rowOff>48884</xdr:rowOff>
    </xdr:from>
    <xdr:to>
      <xdr:col>1</xdr:col>
      <xdr:colOff>250228</xdr:colOff>
      <xdr:row>124</xdr:row>
      <xdr:rowOff>183243</xdr:rowOff>
    </xdr:to>
    <xdr:sp macro="" textlink="">
      <xdr:nvSpPr>
        <xdr:cNvPr id="68" name="Text Box 156"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74404" y="29229002"/>
          <a:ext cx="726618" cy="1343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8</a:t>
          </a:r>
        </a:p>
      </xdr:txBody>
    </xdr:sp>
    <xdr:clientData/>
  </xdr:twoCellAnchor>
  <xdr:twoCellAnchor>
    <xdr:from>
      <xdr:col>0</xdr:col>
      <xdr:colOff>269921</xdr:colOff>
      <xdr:row>127</xdr:row>
      <xdr:rowOff>41601</xdr:rowOff>
    </xdr:from>
    <xdr:to>
      <xdr:col>1</xdr:col>
      <xdr:colOff>245745</xdr:colOff>
      <xdr:row>127</xdr:row>
      <xdr:rowOff>178761</xdr:rowOff>
    </xdr:to>
    <xdr:sp macro="" textlink="">
      <xdr:nvSpPr>
        <xdr:cNvPr id="69" name="Text Box 156"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69921" y="29927689"/>
          <a:ext cx="726618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9</a:t>
          </a:r>
        </a:p>
      </xdr:txBody>
    </xdr:sp>
    <xdr:clientData/>
  </xdr:twoCellAnchor>
  <xdr:twoCellAnchor>
    <xdr:from>
      <xdr:col>0</xdr:col>
      <xdr:colOff>128026</xdr:colOff>
      <xdr:row>116</xdr:row>
      <xdr:rowOff>109117</xdr:rowOff>
    </xdr:from>
    <xdr:to>
      <xdr:col>1</xdr:col>
      <xdr:colOff>97546</xdr:colOff>
      <xdr:row>117</xdr:row>
      <xdr:rowOff>10953</xdr:rowOff>
    </xdr:to>
    <xdr:sp macro="" textlink="">
      <xdr:nvSpPr>
        <xdr:cNvPr id="70" name="Text Box 156"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28026" y="27406646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Fathers Day</a:t>
          </a:r>
        </a:p>
      </xdr:txBody>
    </xdr:sp>
    <xdr:clientData/>
  </xdr:twoCellAnchor>
  <xdr:twoCellAnchor>
    <xdr:from>
      <xdr:col>1</xdr:col>
      <xdr:colOff>47624</xdr:colOff>
      <xdr:row>113</xdr:row>
      <xdr:rowOff>106456</xdr:rowOff>
    </xdr:from>
    <xdr:to>
      <xdr:col>2</xdr:col>
      <xdr:colOff>17144</xdr:colOff>
      <xdr:row>114</xdr:row>
      <xdr:rowOff>8293</xdr:rowOff>
    </xdr:to>
    <xdr:sp macro="" textlink="">
      <xdr:nvSpPr>
        <xdr:cNvPr id="71" name="Text Box 156"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798418" y="26698015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Memorial Day</a:t>
          </a:r>
        </a:p>
      </xdr:txBody>
    </xdr:sp>
    <xdr:clientData/>
  </xdr:twoCellAnchor>
  <xdr:twoCellAnchor>
    <xdr:from>
      <xdr:col>1</xdr:col>
      <xdr:colOff>92868</xdr:colOff>
      <xdr:row>127</xdr:row>
      <xdr:rowOff>80963</xdr:rowOff>
    </xdr:from>
    <xdr:to>
      <xdr:col>2</xdr:col>
      <xdr:colOff>62388</xdr:colOff>
      <xdr:row>127</xdr:row>
      <xdr:rowOff>218123</xdr:rowOff>
    </xdr:to>
    <xdr:sp macro="" textlink="">
      <xdr:nvSpPr>
        <xdr:cNvPr id="72" name="Text Box 156"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842962" y="30322838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Labor Day</a:t>
          </a:r>
        </a:p>
      </xdr:txBody>
    </xdr:sp>
    <xdr:clientData/>
  </xdr:twoCellAnchor>
  <xdr:twoCellAnchor>
    <xdr:from>
      <xdr:col>1</xdr:col>
      <xdr:colOff>78580</xdr:colOff>
      <xdr:row>132</xdr:row>
      <xdr:rowOff>90488</xdr:rowOff>
    </xdr:from>
    <xdr:to>
      <xdr:col>2</xdr:col>
      <xdr:colOff>48100</xdr:colOff>
      <xdr:row>132</xdr:row>
      <xdr:rowOff>227648</xdr:rowOff>
    </xdr:to>
    <xdr:sp macro="" textlink="">
      <xdr:nvSpPr>
        <xdr:cNvPr id="73" name="Text Box 156"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828674" y="31522988"/>
          <a:ext cx="7196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Columbus Day</a:t>
          </a:r>
        </a:p>
      </xdr:txBody>
    </xdr:sp>
    <xdr:clientData/>
  </xdr:twoCellAnchor>
  <xdr:twoCellAnchor>
    <xdr:from>
      <xdr:col>0</xdr:col>
      <xdr:colOff>175792</xdr:colOff>
      <xdr:row>132</xdr:row>
      <xdr:rowOff>123963</xdr:rowOff>
    </xdr:from>
    <xdr:to>
      <xdr:col>1</xdr:col>
      <xdr:colOff>151616</xdr:colOff>
      <xdr:row>133</xdr:row>
      <xdr:rowOff>25800</xdr:rowOff>
    </xdr:to>
    <xdr:sp macro="" textlink="">
      <xdr:nvSpPr>
        <xdr:cNvPr id="74" name="Text Box 156"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175792" y="31186669"/>
          <a:ext cx="726618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10</a:t>
          </a:r>
        </a:p>
      </xdr:txBody>
    </xdr:sp>
    <xdr:clientData/>
  </xdr:twoCellAnchor>
  <xdr:twoCellAnchor>
    <xdr:from>
      <xdr:col>6</xdr:col>
      <xdr:colOff>134610</xdr:colOff>
      <xdr:row>107</xdr:row>
      <xdr:rowOff>42162</xdr:rowOff>
    </xdr:from>
    <xdr:to>
      <xdr:col>7</xdr:col>
      <xdr:colOff>117438</xdr:colOff>
      <xdr:row>107</xdr:row>
      <xdr:rowOff>179322</xdr:rowOff>
    </xdr:to>
    <xdr:sp macro="" textlink="">
      <xdr:nvSpPr>
        <xdr:cNvPr id="76" name="Text Box 156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4639375" y="25221780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Cen Div BFR</a:t>
          </a:r>
        </a:p>
      </xdr:txBody>
    </xdr:sp>
    <xdr:clientData/>
  </xdr:twoCellAnchor>
  <xdr:twoCellAnchor>
    <xdr:from>
      <xdr:col>0</xdr:col>
      <xdr:colOff>141331</xdr:colOff>
      <xdr:row>107</xdr:row>
      <xdr:rowOff>228180</xdr:rowOff>
    </xdr:from>
    <xdr:to>
      <xdr:col>1</xdr:col>
      <xdr:colOff>124159</xdr:colOff>
      <xdr:row>108</xdr:row>
      <xdr:rowOff>130017</xdr:rowOff>
    </xdr:to>
    <xdr:sp macro="" textlink="">
      <xdr:nvSpPr>
        <xdr:cNvPr id="77" name="Text Box 156"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141331" y="25407798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Cen Div BFR</a:t>
          </a:r>
        </a:p>
      </xdr:txBody>
    </xdr:sp>
    <xdr:clientData/>
  </xdr:twoCellAnchor>
  <xdr:twoCellAnchor>
    <xdr:from>
      <xdr:col>6</xdr:col>
      <xdr:colOff>234061</xdr:colOff>
      <xdr:row>112</xdr:row>
      <xdr:rowOff>47064</xdr:rowOff>
    </xdr:from>
    <xdr:to>
      <xdr:col>7</xdr:col>
      <xdr:colOff>216889</xdr:colOff>
      <xdr:row>112</xdr:row>
      <xdr:rowOff>184224</xdr:rowOff>
    </xdr:to>
    <xdr:sp macro="" textlink="">
      <xdr:nvSpPr>
        <xdr:cNvPr id="78" name="Text Box 156"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4738826" y="26403299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LOL BIR</a:t>
          </a:r>
        </a:p>
      </xdr:txBody>
    </xdr:sp>
    <xdr:clientData/>
  </xdr:twoCellAnchor>
  <xdr:twoCellAnchor>
    <xdr:from>
      <xdr:col>0</xdr:col>
      <xdr:colOff>195962</xdr:colOff>
      <xdr:row>112</xdr:row>
      <xdr:rowOff>233082</xdr:rowOff>
    </xdr:from>
    <xdr:to>
      <xdr:col>1</xdr:col>
      <xdr:colOff>178790</xdr:colOff>
      <xdr:row>113</xdr:row>
      <xdr:rowOff>134918</xdr:rowOff>
    </xdr:to>
    <xdr:sp macro="" textlink="">
      <xdr:nvSpPr>
        <xdr:cNvPr id="79" name="Text Box 156"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195962" y="26589317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LOL BIR</a:t>
          </a:r>
        </a:p>
      </xdr:txBody>
    </xdr:sp>
    <xdr:clientData/>
  </xdr:twoCellAnchor>
  <xdr:twoCellAnchor>
    <xdr:from>
      <xdr:col>6</xdr:col>
      <xdr:colOff>162344</xdr:colOff>
      <xdr:row>109</xdr:row>
      <xdr:rowOff>42581</xdr:rowOff>
    </xdr:from>
    <xdr:to>
      <xdr:col>7</xdr:col>
      <xdr:colOff>145172</xdr:colOff>
      <xdr:row>109</xdr:row>
      <xdr:rowOff>179741</xdr:rowOff>
    </xdr:to>
    <xdr:sp macro="" textlink="">
      <xdr:nvSpPr>
        <xdr:cNvPr id="80" name="Text Box 156"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4667109" y="25692846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BVR BFR</a:t>
          </a:r>
        </a:p>
      </xdr:txBody>
    </xdr:sp>
    <xdr:clientData/>
  </xdr:twoCellAnchor>
  <xdr:twoCellAnchor>
    <xdr:from>
      <xdr:col>0</xdr:col>
      <xdr:colOff>169066</xdr:colOff>
      <xdr:row>109</xdr:row>
      <xdr:rowOff>206187</xdr:rowOff>
    </xdr:from>
    <xdr:to>
      <xdr:col>1</xdr:col>
      <xdr:colOff>151894</xdr:colOff>
      <xdr:row>110</xdr:row>
      <xdr:rowOff>108024</xdr:rowOff>
    </xdr:to>
    <xdr:sp macro="" textlink="">
      <xdr:nvSpPr>
        <xdr:cNvPr id="81" name="Text Box 156"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169066" y="25856452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BVR BFR</a:t>
          </a:r>
        </a:p>
      </xdr:txBody>
    </xdr:sp>
    <xdr:clientData/>
  </xdr:twoCellAnchor>
  <xdr:twoCellAnchor>
    <xdr:from>
      <xdr:col>6</xdr:col>
      <xdr:colOff>195961</xdr:colOff>
      <xdr:row>111</xdr:row>
      <xdr:rowOff>8964</xdr:rowOff>
    </xdr:from>
    <xdr:to>
      <xdr:col>7</xdr:col>
      <xdr:colOff>178789</xdr:colOff>
      <xdr:row>111</xdr:row>
      <xdr:rowOff>146124</xdr:rowOff>
    </xdr:to>
    <xdr:sp macro="" textlink="">
      <xdr:nvSpPr>
        <xdr:cNvPr id="82" name="Text Box 156"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4700726" y="26129876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SVRA RA</a:t>
          </a:r>
        </a:p>
      </xdr:txBody>
    </xdr:sp>
    <xdr:clientData/>
  </xdr:twoCellAnchor>
  <xdr:twoCellAnchor>
    <xdr:from>
      <xdr:col>0</xdr:col>
      <xdr:colOff>169068</xdr:colOff>
      <xdr:row>112</xdr:row>
      <xdr:rowOff>49306</xdr:rowOff>
    </xdr:from>
    <xdr:to>
      <xdr:col>1</xdr:col>
      <xdr:colOff>151896</xdr:colOff>
      <xdr:row>112</xdr:row>
      <xdr:rowOff>186466</xdr:rowOff>
    </xdr:to>
    <xdr:sp macro="" textlink="">
      <xdr:nvSpPr>
        <xdr:cNvPr id="83" name="Text Box 156">
          <a:extLst>
            <a:ext uri="{FF2B5EF4-FFF2-40B4-BE49-F238E27FC236}">
              <a16:creationId xmlns:a16="http://schemas.microsoft.com/office/drawing/2014/main" xmlns="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169068" y="26405541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SVRA RA</a:t>
          </a:r>
        </a:p>
      </xdr:txBody>
    </xdr:sp>
    <xdr:clientData/>
  </xdr:twoCellAnchor>
  <xdr:twoCellAnchor>
    <xdr:from>
      <xdr:col>6</xdr:col>
      <xdr:colOff>168367</xdr:colOff>
      <xdr:row>115</xdr:row>
      <xdr:rowOff>59811</xdr:rowOff>
    </xdr:from>
    <xdr:to>
      <xdr:col>7</xdr:col>
      <xdr:colOff>137887</xdr:colOff>
      <xdr:row>115</xdr:row>
      <xdr:rowOff>196971</xdr:rowOff>
    </xdr:to>
    <xdr:sp macro="" textlink="">
      <xdr:nvSpPr>
        <xdr:cNvPr id="84" name="Text Box 156">
          <a:extLst>
            <a:ext uri="{FF2B5EF4-FFF2-40B4-BE49-F238E27FC236}">
              <a16:creationId xmlns:a16="http://schemas.microsoft.com/office/drawing/2014/main" xmlns="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4673132" y="27122017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CHGO RA</a:t>
          </a:r>
        </a:p>
      </xdr:txBody>
    </xdr:sp>
    <xdr:clientData/>
  </xdr:twoCellAnchor>
  <xdr:twoCellAnchor>
    <xdr:from>
      <xdr:col>0</xdr:col>
      <xdr:colOff>522473</xdr:colOff>
      <xdr:row>115</xdr:row>
      <xdr:rowOff>234623</xdr:rowOff>
    </xdr:from>
    <xdr:to>
      <xdr:col>1</xdr:col>
      <xdr:colOff>491993</xdr:colOff>
      <xdr:row>116</xdr:row>
      <xdr:rowOff>136460</xdr:rowOff>
    </xdr:to>
    <xdr:sp macro="" textlink="">
      <xdr:nvSpPr>
        <xdr:cNvPr id="85" name="Text Box 156">
          <a:extLst>
            <a:ext uri="{FF2B5EF4-FFF2-40B4-BE49-F238E27FC236}">
              <a16:creationId xmlns:a16="http://schemas.microsoft.com/office/drawing/2014/main" xmlns="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522473" y="27296829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CHGO RA</a:t>
          </a:r>
        </a:p>
      </xdr:txBody>
    </xdr:sp>
    <xdr:clientData/>
  </xdr:twoCellAnchor>
  <xdr:twoCellAnchor>
    <xdr:from>
      <xdr:col>6</xdr:col>
      <xdr:colOff>189657</xdr:colOff>
      <xdr:row>121</xdr:row>
      <xdr:rowOff>35579</xdr:rowOff>
    </xdr:from>
    <xdr:to>
      <xdr:col>7</xdr:col>
      <xdr:colOff>159178</xdr:colOff>
      <xdr:row>121</xdr:row>
      <xdr:rowOff>172739</xdr:rowOff>
    </xdr:to>
    <xdr:sp macro="" textlink="">
      <xdr:nvSpPr>
        <xdr:cNvPr id="86" name="Text Box 156">
          <a:extLst>
            <a:ext uri="{FF2B5EF4-FFF2-40B4-BE49-F238E27FC236}">
              <a16:creationId xmlns:a16="http://schemas.microsoft.com/office/drawing/2014/main" xmlns="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4694422" y="28509726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MILW RA</a:t>
          </a:r>
        </a:p>
      </xdr:txBody>
    </xdr:sp>
    <xdr:clientData/>
  </xdr:twoCellAnchor>
  <xdr:twoCellAnchor>
    <xdr:from>
      <xdr:col>0</xdr:col>
      <xdr:colOff>196381</xdr:colOff>
      <xdr:row>122</xdr:row>
      <xdr:rowOff>53508</xdr:rowOff>
    </xdr:from>
    <xdr:to>
      <xdr:col>1</xdr:col>
      <xdr:colOff>165902</xdr:colOff>
      <xdr:row>122</xdr:row>
      <xdr:rowOff>190668</xdr:rowOff>
    </xdr:to>
    <xdr:sp macro="" textlink="">
      <xdr:nvSpPr>
        <xdr:cNvPr id="87" name="Text Box 156">
          <a:extLst>
            <a:ext uri="{FF2B5EF4-FFF2-40B4-BE49-F238E27FC236}">
              <a16:creationId xmlns:a16="http://schemas.microsoft.com/office/drawing/2014/main" xmlns="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196381" y="28762979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MILW RA</a:t>
          </a:r>
        </a:p>
      </xdr:txBody>
    </xdr:sp>
    <xdr:clientData/>
  </xdr:twoCellAnchor>
  <xdr:twoCellAnchor>
    <xdr:from>
      <xdr:col>6</xdr:col>
      <xdr:colOff>186296</xdr:colOff>
      <xdr:row>124</xdr:row>
      <xdr:rowOff>44122</xdr:rowOff>
    </xdr:from>
    <xdr:to>
      <xdr:col>7</xdr:col>
      <xdr:colOff>155816</xdr:colOff>
      <xdr:row>124</xdr:row>
      <xdr:rowOff>181282</xdr:rowOff>
    </xdr:to>
    <xdr:sp macro="" textlink="">
      <xdr:nvSpPr>
        <xdr:cNvPr id="88" name="Text Box 156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4691061" y="29224240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CHGO RA</a:t>
          </a:r>
        </a:p>
      </xdr:txBody>
    </xdr:sp>
    <xdr:clientData/>
  </xdr:twoCellAnchor>
  <xdr:twoCellAnchor>
    <xdr:from>
      <xdr:col>0</xdr:col>
      <xdr:colOff>215432</xdr:colOff>
      <xdr:row>125</xdr:row>
      <xdr:rowOff>50846</xdr:rowOff>
    </xdr:from>
    <xdr:to>
      <xdr:col>1</xdr:col>
      <xdr:colOff>184952</xdr:colOff>
      <xdr:row>125</xdr:row>
      <xdr:rowOff>188006</xdr:rowOff>
    </xdr:to>
    <xdr:sp macro="" textlink="">
      <xdr:nvSpPr>
        <xdr:cNvPr id="89" name="Text Box 156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15432" y="29466287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CHGO RA</a:t>
          </a:r>
        </a:p>
      </xdr:txBody>
    </xdr:sp>
    <xdr:clientData/>
  </xdr:twoCellAnchor>
  <xdr:twoCellAnchor>
    <xdr:from>
      <xdr:col>6</xdr:col>
      <xdr:colOff>218373</xdr:colOff>
      <xdr:row>124</xdr:row>
      <xdr:rowOff>221875</xdr:rowOff>
    </xdr:from>
    <xdr:to>
      <xdr:col>7</xdr:col>
      <xdr:colOff>201201</xdr:colOff>
      <xdr:row>125</xdr:row>
      <xdr:rowOff>123712</xdr:rowOff>
    </xdr:to>
    <xdr:sp macro="" textlink="">
      <xdr:nvSpPr>
        <xdr:cNvPr id="90" name="Text Box 156">
          <a:extLst>
            <a:ext uri="{FF2B5EF4-FFF2-40B4-BE49-F238E27FC236}">
              <a16:creationId xmlns:a16="http://schemas.microsoft.com/office/drawing/2014/main" xmlns="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4723138" y="29401993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LOL BIR</a:t>
          </a:r>
        </a:p>
      </xdr:txBody>
    </xdr:sp>
    <xdr:clientData/>
  </xdr:twoCellAnchor>
  <xdr:twoCellAnchor>
    <xdr:from>
      <xdr:col>0</xdr:col>
      <xdr:colOff>202685</xdr:colOff>
      <xdr:row>125</xdr:row>
      <xdr:rowOff>217393</xdr:rowOff>
    </xdr:from>
    <xdr:to>
      <xdr:col>1</xdr:col>
      <xdr:colOff>185513</xdr:colOff>
      <xdr:row>126</xdr:row>
      <xdr:rowOff>119229</xdr:rowOff>
    </xdr:to>
    <xdr:sp macro="" textlink="">
      <xdr:nvSpPr>
        <xdr:cNvPr id="91" name="Text Box 156">
          <a:extLst>
            <a:ext uri="{FF2B5EF4-FFF2-40B4-BE49-F238E27FC236}">
              <a16:creationId xmlns:a16="http://schemas.microsoft.com/office/drawing/2014/main" xmlns="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02685" y="29632834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LOL BIR</a:t>
          </a:r>
        </a:p>
      </xdr:txBody>
    </xdr:sp>
    <xdr:clientData/>
  </xdr:twoCellAnchor>
  <xdr:twoCellAnchor>
    <xdr:from>
      <xdr:col>6</xdr:col>
      <xdr:colOff>159403</xdr:colOff>
      <xdr:row>131</xdr:row>
      <xdr:rowOff>73257</xdr:rowOff>
    </xdr:from>
    <xdr:to>
      <xdr:col>7</xdr:col>
      <xdr:colOff>128923</xdr:colOff>
      <xdr:row>131</xdr:row>
      <xdr:rowOff>210417</xdr:rowOff>
    </xdr:to>
    <xdr:sp macro="" textlink="">
      <xdr:nvSpPr>
        <xdr:cNvPr id="92" name="Text Box 156">
          <a:extLst>
            <a:ext uri="{FF2B5EF4-FFF2-40B4-BE49-F238E27FC236}">
              <a16:creationId xmlns:a16="http://schemas.microsoft.com/office/drawing/2014/main" xmlns="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4664168" y="30900639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CHGO BFR</a:t>
          </a:r>
        </a:p>
      </xdr:txBody>
    </xdr:sp>
    <xdr:clientData/>
  </xdr:twoCellAnchor>
  <xdr:twoCellAnchor>
    <xdr:from>
      <xdr:col>0</xdr:col>
      <xdr:colOff>121304</xdr:colOff>
      <xdr:row>131</xdr:row>
      <xdr:rowOff>225657</xdr:rowOff>
    </xdr:from>
    <xdr:to>
      <xdr:col>1</xdr:col>
      <xdr:colOff>90824</xdr:colOff>
      <xdr:row>132</xdr:row>
      <xdr:rowOff>127493</xdr:rowOff>
    </xdr:to>
    <xdr:sp macro="" textlink="">
      <xdr:nvSpPr>
        <xdr:cNvPr id="93" name="Text Box 156">
          <a:extLst>
            <a:ext uri="{FF2B5EF4-FFF2-40B4-BE49-F238E27FC236}">
              <a16:creationId xmlns:a16="http://schemas.microsoft.com/office/drawing/2014/main" xmlns="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121304" y="31053039"/>
          <a:ext cx="720314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CHGO BFR</a:t>
          </a:r>
        </a:p>
      </xdr:txBody>
    </xdr:sp>
    <xdr:clientData/>
  </xdr:twoCellAnchor>
  <xdr:twoCellAnchor>
    <xdr:from>
      <xdr:col>6</xdr:col>
      <xdr:colOff>126766</xdr:colOff>
      <xdr:row>133</xdr:row>
      <xdr:rowOff>53225</xdr:rowOff>
    </xdr:from>
    <xdr:to>
      <xdr:col>7</xdr:col>
      <xdr:colOff>96287</xdr:colOff>
      <xdr:row>133</xdr:row>
      <xdr:rowOff>190385</xdr:rowOff>
    </xdr:to>
    <xdr:sp macro="" textlink="">
      <xdr:nvSpPr>
        <xdr:cNvPr id="94" name="Text Box 156">
          <a:extLst>
            <a:ext uri="{FF2B5EF4-FFF2-40B4-BE49-F238E27FC236}">
              <a16:creationId xmlns:a16="http://schemas.microsoft.com/office/drawing/2014/main" xmlns="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4631531" y="31351254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2018 Runoffs</a:t>
          </a:r>
        </a:p>
      </xdr:txBody>
    </xdr:sp>
    <xdr:clientData/>
  </xdr:twoCellAnchor>
  <xdr:twoCellAnchor>
    <xdr:from>
      <xdr:col>0</xdr:col>
      <xdr:colOff>144696</xdr:colOff>
      <xdr:row>134</xdr:row>
      <xdr:rowOff>37536</xdr:rowOff>
    </xdr:from>
    <xdr:to>
      <xdr:col>1</xdr:col>
      <xdr:colOff>114217</xdr:colOff>
      <xdr:row>134</xdr:row>
      <xdr:rowOff>174696</xdr:rowOff>
    </xdr:to>
    <xdr:sp macro="" textlink="">
      <xdr:nvSpPr>
        <xdr:cNvPr id="95" name="Text Box 156">
          <a:extLst>
            <a:ext uri="{FF2B5EF4-FFF2-40B4-BE49-F238E27FC236}">
              <a16:creationId xmlns:a16="http://schemas.microsoft.com/office/drawing/2014/main" xmlns="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144696" y="31570889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2018 Runoffs</a:t>
          </a:r>
        </a:p>
      </xdr:txBody>
    </xdr:sp>
    <xdr:clientData/>
  </xdr:twoCellAnchor>
  <xdr:twoCellAnchor>
    <xdr:from>
      <xdr:col>6</xdr:col>
      <xdr:colOff>194001</xdr:colOff>
      <xdr:row>116</xdr:row>
      <xdr:rowOff>19612</xdr:rowOff>
    </xdr:from>
    <xdr:to>
      <xdr:col>7</xdr:col>
      <xdr:colOff>163522</xdr:colOff>
      <xdr:row>116</xdr:row>
      <xdr:rowOff>156772</xdr:rowOff>
    </xdr:to>
    <xdr:sp macro="" textlink="">
      <xdr:nvSpPr>
        <xdr:cNvPr id="96" name="Text Box 156">
          <a:extLst>
            <a:ext uri="{FF2B5EF4-FFF2-40B4-BE49-F238E27FC236}">
              <a16:creationId xmlns:a16="http://schemas.microsoft.com/office/drawing/2014/main" xmlns="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4698766" y="27317141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IA EVO</a:t>
          </a:r>
        </a:p>
      </xdr:txBody>
    </xdr:sp>
    <xdr:clientData/>
  </xdr:twoCellAnchor>
  <xdr:twoCellAnchor>
    <xdr:from>
      <xdr:col>0</xdr:col>
      <xdr:colOff>223137</xdr:colOff>
      <xdr:row>117</xdr:row>
      <xdr:rowOff>59953</xdr:rowOff>
    </xdr:from>
    <xdr:to>
      <xdr:col>1</xdr:col>
      <xdr:colOff>192658</xdr:colOff>
      <xdr:row>117</xdr:row>
      <xdr:rowOff>197113</xdr:rowOff>
    </xdr:to>
    <xdr:sp macro="" textlink="">
      <xdr:nvSpPr>
        <xdr:cNvPr id="97" name="Text Box 156">
          <a:extLst>
            <a:ext uri="{FF2B5EF4-FFF2-40B4-BE49-F238E27FC236}">
              <a16:creationId xmlns:a16="http://schemas.microsoft.com/office/drawing/2014/main" xmlns="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23137" y="27592806"/>
          <a:ext cx="720315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IA EVO</a:t>
          </a:r>
        </a:p>
      </xdr:txBody>
    </xdr:sp>
    <xdr:clientData/>
  </xdr:twoCellAnchor>
  <xdr:twoCellAnchor>
    <xdr:from>
      <xdr:col>0</xdr:col>
      <xdr:colOff>213051</xdr:colOff>
      <xdr:row>107</xdr:row>
      <xdr:rowOff>8539</xdr:rowOff>
    </xdr:from>
    <xdr:to>
      <xdr:col>1</xdr:col>
      <xdr:colOff>195879</xdr:colOff>
      <xdr:row>107</xdr:row>
      <xdr:rowOff>145699</xdr:rowOff>
    </xdr:to>
    <xdr:sp macro="" textlink="">
      <xdr:nvSpPr>
        <xdr:cNvPr id="100" name="Text Box 156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13051" y="25188157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GRR TT</a:t>
          </a:r>
        </a:p>
      </xdr:txBody>
    </xdr:sp>
    <xdr:clientData/>
  </xdr:twoCellAnchor>
  <xdr:twoCellAnchor>
    <xdr:from>
      <xdr:col>6</xdr:col>
      <xdr:colOff>134610</xdr:colOff>
      <xdr:row>106</xdr:row>
      <xdr:rowOff>42162</xdr:rowOff>
    </xdr:from>
    <xdr:to>
      <xdr:col>7</xdr:col>
      <xdr:colOff>117438</xdr:colOff>
      <xdr:row>106</xdr:row>
      <xdr:rowOff>179322</xdr:rowOff>
    </xdr:to>
    <xdr:sp macro="" textlink="">
      <xdr:nvSpPr>
        <xdr:cNvPr id="99" name="Text Box 156">
          <a:extLst>
            <a:ext uri="{FF2B5EF4-FFF2-40B4-BE49-F238E27FC236}">
              <a16:creationId xmlns:a16="http://schemas.microsoft.com/office/drawing/2014/main" xmlns="" id="{6FC1EBCF-7A78-4CCE-B0DB-E0605F01FCAD}"/>
            </a:ext>
          </a:extLst>
        </xdr:cNvPr>
        <xdr:cNvSpPr txBox="1">
          <a:spLocks noChangeArrowheads="1"/>
        </xdr:cNvSpPr>
      </xdr:nvSpPr>
      <xdr:spPr bwMode="auto">
        <a:xfrm>
          <a:off x="4639375" y="25221780"/>
          <a:ext cx="733622" cy="137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Cen Div BFR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rin@saukvalleyaviation.com" TargetMode="External"/><Relationship Id="rId1" Type="http://schemas.openxmlformats.org/officeDocument/2006/relationships/hyperlink" Target="mailto:olivia.l.canales.mil@mail.m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35"/>
  <sheetViews>
    <sheetView showGridLines="0" tabSelected="1" zoomScale="80" zoomScaleNormal="80" workbookViewId="0">
      <selection activeCell="Q23" sqref="Q23"/>
    </sheetView>
  </sheetViews>
  <sheetFormatPr defaultRowHeight="12.75"/>
  <cols>
    <col min="1" max="1" width="9.140625" style="198"/>
    <col min="2" max="2" width="9.140625" style="1" customWidth="1"/>
    <col min="3" max="3" width="25.28515625" style="2" customWidth="1"/>
    <col min="4" max="4" width="6.140625" style="1" customWidth="1"/>
    <col min="5" max="5" width="14.28515625" style="1" customWidth="1"/>
    <col min="6" max="6" width="16" style="1" customWidth="1"/>
    <col min="7" max="7" width="14.42578125" style="1" customWidth="1"/>
    <col min="8" max="8" width="14" style="1" customWidth="1"/>
    <col min="9" max="9" width="12.85546875" style="1" customWidth="1"/>
    <col min="10" max="10" width="13.85546875" style="1" customWidth="1"/>
    <col min="11" max="11" width="16.5703125" style="1" customWidth="1"/>
    <col min="12" max="12" width="18.85546875" style="1" customWidth="1"/>
    <col min="13" max="13" width="12.85546875" style="1" customWidth="1"/>
    <col min="14" max="14" width="15.42578125" style="1" customWidth="1"/>
    <col min="15" max="15" width="11.28515625" style="1" customWidth="1"/>
    <col min="16" max="16" width="13.28515625" style="1" customWidth="1"/>
    <col min="17" max="17" width="14.5703125" style="1" customWidth="1"/>
    <col min="18" max="22" width="6.7109375" style="2" customWidth="1"/>
    <col min="23" max="23" width="22.5703125" style="1" customWidth="1"/>
    <col min="24" max="26" width="9.140625" style="1"/>
    <col min="27" max="27" width="13.5703125" style="1" customWidth="1"/>
    <col min="28" max="16384" width="9.140625" style="1"/>
  </cols>
  <sheetData>
    <row r="1" spans="1:32" ht="26.25" thickBot="1">
      <c r="A1" s="199"/>
      <c r="B1" s="200"/>
      <c r="C1" s="209" t="s">
        <v>106</v>
      </c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50"/>
      <c r="S1" s="250"/>
      <c r="T1" s="250"/>
      <c r="U1" s="250"/>
      <c r="V1" s="250"/>
    </row>
    <row r="2" spans="1:32" s="3" customFormat="1" ht="17.25" thickTop="1" thickBot="1">
      <c r="A2" s="193"/>
      <c r="B2" s="278" t="s">
        <v>0</v>
      </c>
      <c r="C2" s="279"/>
      <c r="D2" s="279"/>
      <c r="E2" s="279"/>
      <c r="F2" s="279"/>
      <c r="G2" s="280"/>
      <c r="H2" s="5"/>
      <c r="I2" s="256"/>
      <c r="J2" s="281" t="s">
        <v>1</v>
      </c>
      <c r="K2" s="282"/>
      <c r="L2" s="282"/>
      <c r="M2" s="282"/>
      <c r="N2" s="282"/>
      <c r="O2" s="282"/>
      <c r="P2" s="283"/>
      <c r="Q2" s="6"/>
      <c r="R2" s="251"/>
      <c r="S2" s="251"/>
      <c r="T2" s="251"/>
      <c r="U2" s="251"/>
      <c r="V2" s="251"/>
    </row>
    <row r="3" spans="1:32" s="3" customFormat="1" ht="17.25" thickTop="1" thickBot="1">
      <c r="A3" s="194"/>
      <c r="B3" s="9"/>
      <c r="C3" s="278" t="s">
        <v>2</v>
      </c>
      <c r="D3" s="279"/>
      <c r="E3" s="279"/>
      <c r="F3" s="279"/>
      <c r="G3" s="280"/>
      <c r="H3" s="10"/>
      <c r="I3" s="10"/>
      <c r="J3" s="11"/>
      <c r="K3" s="11"/>
      <c r="L3" s="10"/>
      <c r="M3" s="10"/>
      <c r="N3" s="10"/>
      <c r="O3" s="10"/>
      <c r="P3" s="10"/>
      <c r="Q3" s="12"/>
      <c r="R3" s="252"/>
      <c r="S3" s="252"/>
      <c r="T3" s="252"/>
      <c r="U3" s="252"/>
      <c r="V3" s="252"/>
    </row>
    <row r="4" spans="1:32" s="2" customFormat="1" ht="49.5" customHeight="1" thickTop="1" thickBot="1">
      <c r="A4" s="195" t="s">
        <v>3</v>
      </c>
      <c r="B4" s="15" t="s">
        <v>4</v>
      </c>
      <c r="C4" s="15" t="s">
        <v>5</v>
      </c>
      <c r="D4" s="15" t="s">
        <v>107</v>
      </c>
      <c r="E4" s="16" t="s">
        <v>7</v>
      </c>
      <c r="F4" s="15" t="s">
        <v>8</v>
      </c>
      <c r="G4" s="15" t="s">
        <v>9</v>
      </c>
      <c r="H4" s="16" t="s">
        <v>10</v>
      </c>
      <c r="I4" s="258" t="s">
        <v>172</v>
      </c>
      <c r="J4" s="15" t="s">
        <v>11</v>
      </c>
      <c r="K4" s="16" t="s">
        <v>171</v>
      </c>
      <c r="L4" s="16" t="s">
        <v>175</v>
      </c>
      <c r="M4" s="258" t="s">
        <v>174</v>
      </c>
      <c r="N4" s="15" t="s">
        <v>13</v>
      </c>
      <c r="O4" s="16" t="s">
        <v>14</v>
      </c>
      <c r="P4" s="16" t="s">
        <v>15</v>
      </c>
      <c r="Q4" s="17" t="s">
        <v>16</v>
      </c>
      <c r="R4" s="192" t="s">
        <v>108</v>
      </c>
      <c r="S4" s="192" t="s">
        <v>160</v>
      </c>
      <c r="T4" s="2" t="s">
        <v>165</v>
      </c>
      <c r="U4" s="192" t="s">
        <v>111</v>
      </c>
      <c r="V4" s="2" t="s">
        <v>162</v>
      </c>
      <c r="W4" s="18" t="s">
        <v>17</v>
      </c>
      <c r="X4" s="217"/>
      <c r="Y4" s="217"/>
      <c r="Z4" s="217"/>
      <c r="AA4" s="217"/>
      <c r="AB4" s="216"/>
      <c r="AC4" s="216"/>
      <c r="AD4" s="216"/>
      <c r="AE4" s="216"/>
      <c r="AF4" s="216"/>
    </row>
    <row r="5" spans="1:32" s="2" customFormat="1" ht="30" customHeight="1" thickTop="1" thickBot="1">
      <c r="A5" s="195"/>
      <c r="B5" s="213" t="s">
        <v>42</v>
      </c>
      <c r="C5" s="207">
        <v>43205</v>
      </c>
      <c r="D5" s="249" t="s">
        <v>156</v>
      </c>
      <c r="E5" s="285" t="s">
        <v>173</v>
      </c>
      <c r="F5" s="285" t="s">
        <v>25</v>
      </c>
      <c r="G5" s="285" t="s">
        <v>20</v>
      </c>
      <c r="H5" s="285" t="s">
        <v>23</v>
      </c>
      <c r="I5" s="285" t="s">
        <v>203</v>
      </c>
      <c r="J5" s="285" t="s">
        <v>91</v>
      </c>
      <c r="K5" s="285" t="s">
        <v>176</v>
      </c>
      <c r="L5" s="285" t="s">
        <v>177</v>
      </c>
      <c r="M5" s="285"/>
      <c r="N5" s="285" t="s">
        <v>56</v>
      </c>
      <c r="O5" s="285" t="s">
        <v>26</v>
      </c>
      <c r="P5" s="285" t="s">
        <v>61</v>
      </c>
      <c r="Q5" s="286" t="s">
        <v>25</v>
      </c>
      <c r="R5" s="254" t="s">
        <v>35</v>
      </c>
      <c r="S5" s="254" t="s">
        <v>161</v>
      </c>
      <c r="T5" s="254" t="s">
        <v>161</v>
      </c>
      <c r="U5" s="254" t="s">
        <v>28</v>
      </c>
      <c r="V5" s="254" t="s">
        <v>161</v>
      </c>
      <c r="W5" s="2" t="s">
        <v>44</v>
      </c>
      <c r="X5" s="217"/>
      <c r="Y5" s="217"/>
      <c r="Z5" s="217"/>
      <c r="AA5" s="217"/>
      <c r="AB5" s="216"/>
      <c r="AC5" s="216"/>
      <c r="AD5" s="216"/>
      <c r="AE5" s="216"/>
      <c r="AF5" s="216"/>
    </row>
    <row r="6" spans="1:32" s="2" customFormat="1" ht="30" customHeight="1" thickTop="1" thickBot="1">
      <c r="A6" s="195">
        <f>C6-C5</f>
        <v>7</v>
      </c>
      <c r="B6" s="186">
        <v>1</v>
      </c>
      <c r="C6" s="207">
        <v>43212</v>
      </c>
      <c r="D6" s="249" t="s">
        <v>19</v>
      </c>
      <c r="E6" s="285" t="s">
        <v>173</v>
      </c>
      <c r="F6" s="285" t="s">
        <v>61</v>
      </c>
      <c r="G6" s="285" t="s">
        <v>27</v>
      </c>
      <c r="H6" s="285" t="s">
        <v>22</v>
      </c>
      <c r="I6" s="285" t="s">
        <v>190</v>
      </c>
      <c r="J6" s="285" t="s">
        <v>91</v>
      </c>
      <c r="K6" s="285"/>
      <c r="L6" s="285" t="s">
        <v>49</v>
      </c>
      <c r="M6" s="285" t="s">
        <v>56</v>
      </c>
      <c r="N6" s="285" t="s">
        <v>21</v>
      </c>
      <c r="O6" s="285" t="s">
        <v>26</v>
      </c>
      <c r="P6" s="285" t="s">
        <v>20</v>
      </c>
      <c r="Q6" s="286" t="s">
        <v>61</v>
      </c>
      <c r="R6" s="254" t="s">
        <v>28</v>
      </c>
      <c r="S6" s="254" t="s">
        <v>161</v>
      </c>
      <c r="T6" s="254" t="s">
        <v>161</v>
      </c>
      <c r="U6" s="254" t="s">
        <v>35</v>
      </c>
      <c r="V6" s="254" t="s">
        <v>161</v>
      </c>
      <c r="W6" s="2" t="s">
        <v>185</v>
      </c>
      <c r="X6" s="222" t="s">
        <v>38</v>
      </c>
      <c r="Y6" s="229" t="s">
        <v>167</v>
      </c>
      <c r="Z6" s="229"/>
      <c r="AA6" s="229" t="s">
        <v>183</v>
      </c>
      <c r="AB6" s="272" t="s">
        <v>184</v>
      </c>
      <c r="AC6" s="216"/>
      <c r="AD6" s="216"/>
      <c r="AE6" s="216"/>
      <c r="AF6" s="216"/>
    </row>
    <row r="7" spans="1:32" s="2" customFormat="1" ht="30" customHeight="1" thickTop="1" thickBot="1">
      <c r="A7" s="195">
        <f t="shared" ref="A7:A16" si="0">C7-C6</f>
        <v>14</v>
      </c>
      <c r="B7" s="186">
        <v>2</v>
      </c>
      <c r="C7" s="207">
        <v>43226</v>
      </c>
      <c r="D7" s="249" t="s">
        <v>38</v>
      </c>
      <c r="E7" s="285" t="s">
        <v>173</v>
      </c>
      <c r="F7" s="285" t="s">
        <v>21</v>
      </c>
      <c r="G7" s="285" t="s">
        <v>20</v>
      </c>
      <c r="H7" s="285" t="s">
        <v>44</v>
      </c>
      <c r="I7" s="285" t="s">
        <v>204</v>
      </c>
      <c r="J7" s="285" t="s">
        <v>91</v>
      </c>
      <c r="K7" s="285"/>
      <c r="L7" s="285" t="s">
        <v>56</v>
      </c>
      <c r="M7" s="285" t="s">
        <v>26</v>
      </c>
      <c r="N7" s="285"/>
      <c r="O7" s="285" t="s">
        <v>32</v>
      </c>
      <c r="P7" s="285" t="s">
        <v>27</v>
      </c>
      <c r="Q7" s="286" t="s">
        <v>193</v>
      </c>
      <c r="R7" s="254" t="s">
        <v>35</v>
      </c>
      <c r="S7" s="254" t="s">
        <v>161</v>
      </c>
      <c r="T7" s="254" t="s">
        <v>161</v>
      </c>
      <c r="U7" s="254" t="s">
        <v>28</v>
      </c>
      <c r="V7" s="254" t="s">
        <v>161</v>
      </c>
      <c r="W7" s="2" t="s">
        <v>186</v>
      </c>
      <c r="X7" s="222" t="s">
        <v>31</v>
      </c>
      <c r="Y7" s="229" t="s">
        <v>166</v>
      </c>
      <c r="Z7" s="229"/>
      <c r="AA7" s="229" t="s">
        <v>147</v>
      </c>
      <c r="AB7" s="229"/>
      <c r="AC7" s="216"/>
      <c r="AD7" s="216"/>
      <c r="AE7" s="216"/>
      <c r="AF7" s="216"/>
    </row>
    <row r="8" spans="1:32" s="2" customFormat="1" ht="30" customHeight="1" thickTop="1" thickBot="1">
      <c r="A8" s="195">
        <f t="shared" si="0"/>
        <v>21</v>
      </c>
      <c r="B8" s="186">
        <v>3</v>
      </c>
      <c r="C8" s="207">
        <v>43247</v>
      </c>
      <c r="D8" s="249" t="s">
        <v>19</v>
      </c>
      <c r="E8" s="285" t="s">
        <v>173</v>
      </c>
      <c r="F8" s="285" t="s">
        <v>187</v>
      </c>
      <c r="G8" s="285" t="s">
        <v>22</v>
      </c>
      <c r="H8" s="285" t="s">
        <v>32</v>
      </c>
      <c r="I8" s="285" t="s">
        <v>191</v>
      </c>
      <c r="J8" s="285" t="s">
        <v>27</v>
      </c>
      <c r="K8" s="285" t="s">
        <v>20</v>
      </c>
      <c r="L8" s="285" t="s">
        <v>49</v>
      </c>
      <c r="M8" s="285" t="s">
        <v>170</v>
      </c>
      <c r="N8" s="285" t="s">
        <v>61</v>
      </c>
      <c r="O8" s="285" t="s">
        <v>192</v>
      </c>
      <c r="P8" s="285" t="s">
        <v>27</v>
      </c>
      <c r="Q8" s="285" t="s">
        <v>187</v>
      </c>
      <c r="R8" s="254" t="s">
        <v>28</v>
      </c>
      <c r="S8" s="254" t="s">
        <v>161</v>
      </c>
      <c r="T8" s="254" t="s">
        <v>161</v>
      </c>
      <c r="U8" s="254" t="s">
        <v>35</v>
      </c>
      <c r="V8" s="254" t="s">
        <v>161</v>
      </c>
      <c r="W8" s="2" t="s">
        <v>188</v>
      </c>
      <c r="X8" s="222" t="s">
        <v>163</v>
      </c>
      <c r="Y8" s="229" t="s">
        <v>145</v>
      </c>
      <c r="Z8" s="229"/>
      <c r="AA8" s="229" t="s">
        <v>144</v>
      </c>
      <c r="AB8" s="229" t="s">
        <v>164</v>
      </c>
      <c r="AC8" s="216"/>
      <c r="AD8" s="216"/>
      <c r="AE8" s="216"/>
      <c r="AF8" s="216"/>
    </row>
    <row r="9" spans="1:32" s="2" customFormat="1" ht="30" customHeight="1" thickTop="1" thickBot="1">
      <c r="A9" s="195">
        <f t="shared" si="0"/>
        <v>1</v>
      </c>
      <c r="B9" s="186">
        <v>4</v>
      </c>
      <c r="C9" s="207">
        <v>43248</v>
      </c>
      <c r="D9" s="204" t="s">
        <v>19</v>
      </c>
      <c r="E9" s="285" t="s">
        <v>173</v>
      </c>
      <c r="F9" s="285" t="s">
        <v>56</v>
      </c>
      <c r="G9" s="285" t="s">
        <v>44</v>
      </c>
      <c r="H9" s="285" t="s">
        <v>22</v>
      </c>
      <c r="I9" s="285" t="s">
        <v>26</v>
      </c>
      <c r="J9" s="285" t="s">
        <v>27</v>
      </c>
      <c r="K9" s="285"/>
      <c r="L9" s="285" t="s">
        <v>61</v>
      </c>
      <c r="M9" s="285" t="s">
        <v>187</v>
      </c>
      <c r="N9" s="285" t="s">
        <v>170</v>
      </c>
      <c r="O9" s="285" t="s">
        <v>197</v>
      </c>
      <c r="P9" s="285" t="s">
        <v>20</v>
      </c>
      <c r="Q9" s="285" t="s">
        <v>56</v>
      </c>
      <c r="R9" s="254" t="s">
        <v>28</v>
      </c>
      <c r="S9" s="254" t="s">
        <v>161</v>
      </c>
      <c r="T9" s="254" t="s">
        <v>161</v>
      </c>
      <c r="U9" s="254" t="s">
        <v>35</v>
      </c>
      <c r="V9" s="254" t="s">
        <v>161</v>
      </c>
      <c r="W9" s="2" t="s">
        <v>189</v>
      </c>
      <c r="X9" s="222" t="s">
        <v>157</v>
      </c>
      <c r="Y9" s="229"/>
      <c r="Z9" s="229"/>
      <c r="AA9" s="229"/>
      <c r="AB9" s="229"/>
      <c r="AC9" s="216"/>
      <c r="AD9" s="216"/>
      <c r="AE9" s="216"/>
      <c r="AF9" s="216"/>
    </row>
    <row r="10" spans="1:32" s="2" customFormat="1" ht="30" customHeight="1" thickTop="1" thickBot="1">
      <c r="A10" s="195">
        <f t="shared" si="0"/>
        <v>20</v>
      </c>
      <c r="B10" s="186">
        <v>5</v>
      </c>
      <c r="C10" s="207">
        <v>43268</v>
      </c>
      <c r="D10" s="253" t="s">
        <v>38</v>
      </c>
      <c r="E10" s="285" t="s">
        <v>173</v>
      </c>
      <c r="F10" s="285" t="s">
        <v>170</v>
      </c>
      <c r="G10" s="285" t="s">
        <v>20</v>
      </c>
      <c r="H10" s="285" t="s">
        <v>32</v>
      </c>
      <c r="I10" s="285" t="s">
        <v>201</v>
      </c>
      <c r="J10" s="285" t="s">
        <v>91</v>
      </c>
      <c r="K10" s="285" t="s">
        <v>49</v>
      </c>
      <c r="L10" s="285" t="s">
        <v>61</v>
      </c>
      <c r="M10" s="285" t="s">
        <v>187</v>
      </c>
      <c r="N10" s="285" t="s">
        <v>180</v>
      </c>
      <c r="O10" s="285" t="s">
        <v>26</v>
      </c>
      <c r="P10" s="285" t="s">
        <v>180</v>
      </c>
      <c r="Q10" s="286" t="s">
        <v>193</v>
      </c>
      <c r="R10" s="254" t="s">
        <v>35</v>
      </c>
      <c r="S10" s="254" t="s">
        <v>161</v>
      </c>
      <c r="T10" s="254" t="s">
        <v>161</v>
      </c>
      <c r="U10" s="254" t="s">
        <v>28</v>
      </c>
      <c r="V10" s="254" t="s">
        <v>161</v>
      </c>
      <c r="W10" s="2" t="s">
        <v>186</v>
      </c>
      <c r="X10" s="222" t="s">
        <v>158</v>
      </c>
      <c r="Y10" s="229"/>
      <c r="Z10" s="229"/>
      <c r="AA10" s="229"/>
      <c r="AB10" s="229"/>
      <c r="AC10" s="216"/>
      <c r="AD10" s="216"/>
      <c r="AE10" s="216"/>
      <c r="AF10" s="216"/>
    </row>
    <row r="11" spans="1:32" s="2" customFormat="1" ht="30" customHeight="1" thickTop="1" thickBot="1">
      <c r="A11" s="195">
        <f t="shared" si="0"/>
        <v>14</v>
      </c>
      <c r="B11" s="186">
        <v>6</v>
      </c>
      <c r="C11" s="207">
        <v>43282</v>
      </c>
      <c r="D11" s="253" t="s">
        <v>19</v>
      </c>
      <c r="E11" s="213" t="s">
        <v>173</v>
      </c>
      <c r="F11" s="213" t="s">
        <v>21</v>
      </c>
      <c r="G11" s="213" t="s">
        <v>187</v>
      </c>
      <c r="H11" s="213" t="s">
        <v>170</v>
      </c>
      <c r="I11" s="213" t="s">
        <v>200</v>
      </c>
      <c r="J11" s="270" t="s">
        <v>91</v>
      </c>
      <c r="K11" s="213" t="s">
        <v>49</v>
      </c>
      <c r="L11" s="213" t="s">
        <v>61</v>
      </c>
      <c r="M11" s="213" t="s">
        <v>26</v>
      </c>
      <c r="N11" s="213" t="s">
        <v>205</v>
      </c>
      <c r="O11" s="213" t="s">
        <v>192</v>
      </c>
      <c r="P11" s="213" t="s">
        <v>27</v>
      </c>
      <c r="Q11" s="213" t="s">
        <v>21</v>
      </c>
      <c r="R11" s="254" t="s">
        <v>28</v>
      </c>
      <c r="S11" s="254" t="s">
        <v>161</v>
      </c>
      <c r="T11" s="254" t="s">
        <v>161</v>
      </c>
      <c r="U11" s="254" t="s">
        <v>35</v>
      </c>
      <c r="V11" s="254" t="s">
        <v>161</v>
      </c>
      <c r="W11" s="2" t="s">
        <v>185</v>
      </c>
      <c r="X11" s="222" t="s">
        <v>156</v>
      </c>
      <c r="Y11" s="229" t="s">
        <v>181</v>
      </c>
      <c r="Z11" s="229"/>
      <c r="AA11" s="229" t="s">
        <v>169</v>
      </c>
      <c r="AB11" s="229"/>
      <c r="AC11" s="216"/>
      <c r="AD11" s="216"/>
      <c r="AE11" s="216"/>
      <c r="AF11" s="216"/>
    </row>
    <row r="12" spans="1:32" s="2" customFormat="1" ht="30" customHeight="1" thickTop="1" thickBot="1">
      <c r="A12" s="195">
        <f t="shared" si="0"/>
        <v>21</v>
      </c>
      <c r="B12" s="186">
        <v>7</v>
      </c>
      <c r="C12" s="207">
        <v>43303</v>
      </c>
      <c r="D12" s="253" t="s">
        <v>19</v>
      </c>
      <c r="E12" s="213" t="s">
        <v>173</v>
      </c>
      <c r="F12" s="213" t="s">
        <v>187</v>
      </c>
      <c r="G12" s="213" t="s">
        <v>27</v>
      </c>
      <c r="H12" s="213" t="s">
        <v>170</v>
      </c>
      <c r="I12" s="186"/>
      <c r="J12" s="213" t="s">
        <v>20</v>
      </c>
      <c r="K12" s="213" t="s">
        <v>49</v>
      </c>
      <c r="L12" s="213" t="s">
        <v>195</v>
      </c>
      <c r="M12" s="186"/>
      <c r="N12" s="213" t="s">
        <v>194</v>
      </c>
      <c r="O12" s="213" t="s">
        <v>22</v>
      </c>
      <c r="P12" s="213" t="s">
        <v>61</v>
      </c>
      <c r="Q12" s="289" t="s">
        <v>187</v>
      </c>
      <c r="R12" s="254" t="s">
        <v>28</v>
      </c>
      <c r="S12" s="254" t="s">
        <v>161</v>
      </c>
      <c r="T12" s="254" t="s">
        <v>161</v>
      </c>
      <c r="U12" s="254" t="s">
        <v>35</v>
      </c>
      <c r="V12" s="254" t="s">
        <v>161</v>
      </c>
      <c r="X12" s="222" t="s">
        <v>55</v>
      </c>
      <c r="Y12" s="229" t="s">
        <v>143</v>
      </c>
      <c r="Z12" s="229"/>
      <c r="AA12" s="229" t="s">
        <v>142</v>
      </c>
      <c r="AB12" s="229"/>
      <c r="AC12" s="216"/>
      <c r="AD12" s="216"/>
      <c r="AE12" s="216"/>
      <c r="AF12" s="216"/>
    </row>
    <row r="13" spans="1:32" s="2" customFormat="1" ht="30" customHeight="1" thickTop="1" thickBot="1">
      <c r="A13" s="195"/>
      <c r="B13" s="213" t="s">
        <v>42</v>
      </c>
      <c r="C13" s="207">
        <v>43310</v>
      </c>
      <c r="D13" s="253" t="s">
        <v>156</v>
      </c>
      <c r="E13" s="213" t="s">
        <v>61</v>
      </c>
      <c r="F13" s="213" t="s">
        <v>25</v>
      </c>
      <c r="G13" s="213" t="s">
        <v>20</v>
      </c>
      <c r="H13" s="213" t="s">
        <v>26</v>
      </c>
      <c r="I13" s="186"/>
      <c r="J13" s="270" t="s">
        <v>91</v>
      </c>
      <c r="K13" s="275"/>
      <c r="L13" s="213" t="s">
        <v>206</v>
      </c>
      <c r="M13" s="186"/>
      <c r="N13" s="213" t="s">
        <v>170</v>
      </c>
      <c r="O13" s="213" t="s">
        <v>192</v>
      </c>
      <c r="P13" s="287" t="s">
        <v>209</v>
      </c>
      <c r="Q13" s="290" t="s">
        <v>25</v>
      </c>
      <c r="R13" s="254"/>
      <c r="S13" s="254"/>
      <c r="T13" s="254"/>
      <c r="U13" s="254"/>
      <c r="V13" s="254"/>
      <c r="X13" s="222"/>
      <c r="Y13" s="229"/>
      <c r="Z13" s="229"/>
      <c r="AA13" s="229"/>
      <c r="AB13" s="229"/>
      <c r="AC13" s="216"/>
      <c r="AD13" s="216"/>
      <c r="AE13" s="216"/>
      <c r="AF13" s="216"/>
    </row>
    <row r="14" spans="1:32" s="2" customFormat="1" ht="30" customHeight="1" thickTop="1" thickBot="1">
      <c r="A14" s="195">
        <f>C14-C12</f>
        <v>21</v>
      </c>
      <c r="B14" s="186">
        <v>8</v>
      </c>
      <c r="C14" s="207">
        <v>43324</v>
      </c>
      <c r="D14" s="249" t="s">
        <v>38</v>
      </c>
      <c r="E14" s="213" t="s">
        <v>173</v>
      </c>
      <c r="F14" s="213" t="s">
        <v>27</v>
      </c>
      <c r="G14" s="213" t="s">
        <v>44</v>
      </c>
      <c r="H14" s="213" t="s">
        <v>187</v>
      </c>
      <c r="I14" s="213" t="s">
        <v>202</v>
      </c>
      <c r="J14" s="270" t="s">
        <v>91</v>
      </c>
      <c r="K14" s="275"/>
      <c r="L14" s="213" t="s">
        <v>207</v>
      </c>
      <c r="M14" s="186"/>
      <c r="N14" s="213" t="s">
        <v>21</v>
      </c>
      <c r="O14" s="213" t="s">
        <v>192</v>
      </c>
      <c r="P14" s="213" t="s">
        <v>27</v>
      </c>
      <c r="Q14" s="271" t="s">
        <v>193</v>
      </c>
      <c r="R14" s="254" t="s">
        <v>35</v>
      </c>
      <c r="S14" s="254" t="s">
        <v>161</v>
      </c>
      <c r="T14" s="254" t="s">
        <v>161</v>
      </c>
      <c r="U14" s="254" t="s">
        <v>28</v>
      </c>
      <c r="V14" s="254" t="s">
        <v>161</v>
      </c>
      <c r="W14" s="2" t="s">
        <v>185</v>
      </c>
      <c r="X14" s="222" t="s">
        <v>19</v>
      </c>
      <c r="Y14" s="284" t="s">
        <v>159</v>
      </c>
      <c r="Z14" s="284"/>
      <c r="AA14" s="233" t="s">
        <v>140</v>
      </c>
      <c r="AB14" s="229"/>
      <c r="AC14" s="216"/>
      <c r="AD14" s="216"/>
      <c r="AE14" s="216"/>
      <c r="AF14" s="216"/>
    </row>
    <row r="15" spans="1:32" s="2" customFormat="1" ht="30" customHeight="1" thickTop="1" thickBot="1">
      <c r="A15" s="195">
        <f t="shared" si="0"/>
        <v>21</v>
      </c>
      <c r="B15" s="186">
        <v>9</v>
      </c>
      <c r="C15" s="207">
        <v>43345</v>
      </c>
      <c r="D15" s="253" t="s">
        <v>19</v>
      </c>
      <c r="E15" s="213" t="s">
        <v>173</v>
      </c>
      <c r="F15" s="213" t="s">
        <v>170</v>
      </c>
      <c r="G15" s="213" t="s">
        <v>25</v>
      </c>
      <c r="H15" s="213" t="s">
        <v>194</v>
      </c>
      <c r="I15" s="213" t="s">
        <v>61</v>
      </c>
      <c r="J15" s="213" t="s">
        <v>20</v>
      </c>
      <c r="K15" s="213" t="s">
        <v>49</v>
      </c>
      <c r="L15" s="213" t="s">
        <v>207</v>
      </c>
      <c r="M15" s="186"/>
      <c r="N15" s="213" t="s">
        <v>180</v>
      </c>
      <c r="O15" s="213" t="s">
        <v>192</v>
      </c>
      <c r="P15" s="213" t="s">
        <v>61</v>
      </c>
      <c r="Q15" s="213" t="s">
        <v>170</v>
      </c>
      <c r="R15" s="254" t="s">
        <v>28</v>
      </c>
      <c r="S15" s="254" t="s">
        <v>161</v>
      </c>
      <c r="T15" s="254" t="s">
        <v>161</v>
      </c>
      <c r="U15" s="254" t="s">
        <v>35</v>
      </c>
      <c r="V15" s="254" t="s">
        <v>161</v>
      </c>
      <c r="X15" s="222"/>
      <c r="Y15" s="284"/>
      <c r="Z15" s="284"/>
      <c r="AA15" s="264" t="s">
        <v>182</v>
      </c>
      <c r="AB15" s="229"/>
      <c r="AC15" s="216"/>
      <c r="AD15" s="216"/>
      <c r="AE15" s="216"/>
      <c r="AF15" s="216"/>
    </row>
    <row r="16" spans="1:32" s="2" customFormat="1" ht="30" customHeight="1" thickTop="1" thickBot="1">
      <c r="A16" s="195">
        <f t="shared" si="0"/>
        <v>35</v>
      </c>
      <c r="B16" s="186">
        <v>10</v>
      </c>
      <c r="C16" s="207">
        <v>43380</v>
      </c>
      <c r="D16" s="253" t="s">
        <v>19</v>
      </c>
      <c r="E16" s="213" t="s">
        <v>173</v>
      </c>
      <c r="F16" s="213" t="s">
        <v>61</v>
      </c>
      <c r="G16" s="213" t="s">
        <v>170</v>
      </c>
      <c r="H16" s="213" t="s">
        <v>26</v>
      </c>
      <c r="I16" s="186"/>
      <c r="J16" s="213" t="s">
        <v>20</v>
      </c>
      <c r="K16" s="213" t="s">
        <v>49</v>
      </c>
      <c r="L16" s="213" t="s">
        <v>208</v>
      </c>
      <c r="M16" s="186"/>
      <c r="N16" s="213" t="s">
        <v>192</v>
      </c>
      <c r="O16" s="213" t="s">
        <v>197</v>
      </c>
      <c r="P16" s="213" t="s">
        <v>49</v>
      </c>
      <c r="Q16" s="213" t="s">
        <v>61</v>
      </c>
      <c r="R16" s="254" t="s">
        <v>28</v>
      </c>
      <c r="S16" s="254" t="s">
        <v>161</v>
      </c>
      <c r="T16" s="254" t="s">
        <v>161</v>
      </c>
      <c r="U16" s="254" t="s">
        <v>35</v>
      </c>
      <c r="V16" s="254" t="s">
        <v>161</v>
      </c>
      <c r="X16" s="222"/>
      <c r="Y16" s="284"/>
      <c r="Z16" s="284"/>
      <c r="AA16" s="229"/>
      <c r="AB16" s="229"/>
      <c r="AC16" s="216"/>
      <c r="AD16" s="216"/>
      <c r="AE16" s="216"/>
      <c r="AF16" s="216"/>
    </row>
    <row r="17" spans="1:32" ht="14.25" thickTop="1" thickBot="1">
      <c r="A17" s="196"/>
      <c r="B17" s="46"/>
      <c r="C17" s="47"/>
      <c r="D17" s="48"/>
      <c r="E17" s="48"/>
      <c r="F17" s="263" t="s">
        <v>25</v>
      </c>
      <c r="G17" s="50" t="s">
        <v>66</v>
      </c>
      <c r="H17" s="49"/>
      <c r="I17" s="257"/>
      <c r="J17" s="50" t="s">
        <v>67</v>
      </c>
      <c r="K17" s="255"/>
      <c r="L17" s="260" t="s">
        <v>49</v>
      </c>
      <c r="M17" s="48"/>
      <c r="N17" s="51"/>
      <c r="O17" s="265" t="s">
        <v>26</v>
      </c>
      <c r="P17" s="48" t="s">
        <v>27</v>
      </c>
      <c r="Q17" s="48"/>
      <c r="R17" s="59"/>
      <c r="S17" s="59"/>
      <c r="T17" s="59"/>
      <c r="U17" s="59"/>
      <c r="V17" s="59"/>
      <c r="X17" s="222"/>
      <c r="Y17" s="284"/>
      <c r="Z17" s="284"/>
      <c r="AA17" s="229"/>
      <c r="AB17" s="229"/>
      <c r="AC17" s="216"/>
      <c r="AD17" s="216"/>
      <c r="AE17" s="216"/>
      <c r="AF17" s="216"/>
    </row>
    <row r="18" spans="1:32" ht="13.5" thickBot="1">
      <c r="A18" s="197"/>
      <c r="B18" s="48"/>
      <c r="C18" s="53"/>
      <c r="D18" s="48"/>
      <c r="E18" s="48"/>
      <c r="F18" s="263" t="s">
        <v>21</v>
      </c>
      <c r="G18" s="266" t="s">
        <v>20</v>
      </c>
      <c r="H18" s="49"/>
      <c r="I18" s="257"/>
      <c r="J18" s="55" t="s">
        <v>20</v>
      </c>
      <c r="K18" s="255"/>
      <c r="L18" s="260" t="s">
        <v>61</v>
      </c>
      <c r="M18" s="48"/>
      <c r="N18" s="48"/>
      <c r="O18" s="260" t="s">
        <v>56</v>
      </c>
      <c r="P18" s="48" t="s">
        <v>115</v>
      </c>
      <c r="Q18" s="48"/>
      <c r="R18" s="59"/>
      <c r="S18" s="59"/>
      <c r="T18" s="59"/>
      <c r="U18" s="59"/>
      <c r="V18" s="59"/>
      <c r="X18" s="222"/>
      <c r="Y18" s="229" t="s">
        <v>139</v>
      </c>
      <c r="Z18" s="229"/>
      <c r="AA18" s="229"/>
      <c r="AB18" s="229"/>
      <c r="AC18" s="216"/>
      <c r="AD18" s="216"/>
      <c r="AE18" s="216"/>
      <c r="AF18" s="216"/>
    </row>
    <row r="19" spans="1:32">
      <c r="A19" s="197"/>
      <c r="B19" s="48"/>
      <c r="C19" s="56"/>
      <c r="D19" s="48"/>
      <c r="E19" s="48"/>
      <c r="F19" s="263" t="s">
        <v>56</v>
      </c>
      <c r="G19" s="267" t="s">
        <v>23</v>
      </c>
      <c r="H19" s="48"/>
      <c r="I19" s="48"/>
      <c r="J19" s="268" t="s">
        <v>61</v>
      </c>
      <c r="K19" s="48"/>
      <c r="L19" s="261" t="s">
        <v>56</v>
      </c>
      <c r="M19" s="48"/>
      <c r="N19" s="48"/>
      <c r="O19" s="48"/>
      <c r="P19" s="48" t="s">
        <v>20</v>
      </c>
      <c r="Q19" s="48"/>
      <c r="R19" s="59"/>
      <c r="S19" s="59"/>
      <c r="T19" s="59"/>
      <c r="U19" s="59"/>
      <c r="V19" s="59"/>
      <c r="X19" s="222"/>
      <c r="Y19" s="229" t="s">
        <v>138</v>
      </c>
      <c r="Z19" s="229"/>
      <c r="AA19" s="229"/>
      <c r="AB19" s="229"/>
      <c r="AC19" s="216"/>
      <c r="AD19" s="216"/>
      <c r="AE19" s="216"/>
      <c r="AF19" s="216"/>
    </row>
    <row r="20" spans="1:32">
      <c r="A20" s="197"/>
      <c r="B20" s="48"/>
      <c r="C20" s="56"/>
      <c r="D20" s="48"/>
      <c r="E20" s="48"/>
      <c r="F20" s="263" t="s">
        <v>22</v>
      </c>
      <c r="G20" s="57" t="s">
        <v>32</v>
      </c>
      <c r="H20" s="48"/>
      <c r="I20" s="48"/>
      <c r="J20" s="268" t="s">
        <v>170</v>
      </c>
      <c r="K20" s="48"/>
      <c r="L20" s="261" t="s">
        <v>187</v>
      </c>
      <c r="M20" s="48"/>
      <c r="N20" s="48"/>
      <c r="O20" s="48"/>
      <c r="P20" s="48" t="s">
        <v>49</v>
      </c>
      <c r="Q20" s="48"/>
      <c r="R20" s="59"/>
      <c r="S20" s="59"/>
      <c r="T20" s="59"/>
      <c r="U20" s="59"/>
      <c r="V20" s="59"/>
      <c r="X20" s="222"/>
      <c r="Y20" s="229" t="s">
        <v>137</v>
      </c>
      <c r="Z20" s="229"/>
      <c r="AA20" s="229"/>
      <c r="AB20" s="229"/>
      <c r="AC20" s="216"/>
      <c r="AD20" s="216"/>
      <c r="AE20" s="216"/>
      <c r="AF20" s="216"/>
    </row>
    <row r="21" spans="1:32" ht="64.5" customHeight="1">
      <c r="A21" s="197"/>
      <c r="B21" s="48"/>
      <c r="C21" s="56"/>
      <c r="D21" s="48"/>
      <c r="E21" s="48"/>
      <c r="F21" s="263" t="s">
        <v>61</v>
      </c>
      <c r="G21" s="262" t="s">
        <v>39</v>
      </c>
      <c r="H21" s="48"/>
      <c r="I21" s="48"/>
      <c r="J21" s="288" t="s">
        <v>27</v>
      </c>
      <c r="K21" s="269" t="s">
        <v>196</v>
      </c>
      <c r="L21" s="261" t="s">
        <v>26</v>
      </c>
      <c r="M21" s="48"/>
      <c r="N21" s="48"/>
      <c r="O21" s="48"/>
      <c r="P21" s="48"/>
      <c r="Q21" s="48"/>
      <c r="R21" s="59"/>
      <c r="S21" s="59"/>
      <c r="T21" s="59"/>
      <c r="U21" s="59"/>
      <c r="V21" s="59"/>
      <c r="X21" s="222"/>
      <c r="Y21" s="229" t="s">
        <v>136</v>
      </c>
      <c r="Z21" s="230"/>
      <c r="AA21" s="229"/>
      <c r="AB21" s="229"/>
      <c r="AC21" s="216"/>
      <c r="AD21" s="216"/>
      <c r="AE21" s="216"/>
      <c r="AF21" s="216"/>
    </row>
    <row r="22" spans="1:32">
      <c r="A22" s="197"/>
      <c r="B22" s="48">
        <v>483320</v>
      </c>
      <c r="C22" s="273" t="s">
        <v>61</v>
      </c>
      <c r="D22" s="48"/>
      <c r="E22" s="48"/>
      <c r="F22" s="263" t="s">
        <v>178</v>
      </c>
      <c r="G22" s="58" t="s">
        <v>22</v>
      </c>
      <c r="H22" s="48"/>
      <c r="I22" s="48"/>
      <c r="J22" s="48"/>
      <c r="K22" s="48"/>
      <c r="L22" s="268" t="s">
        <v>198</v>
      </c>
      <c r="M22" s="48"/>
      <c r="N22" s="48"/>
      <c r="O22" s="48"/>
      <c r="P22" s="48"/>
      <c r="Q22" s="48"/>
      <c r="R22" s="59"/>
      <c r="S22" s="59"/>
      <c r="T22" s="59"/>
      <c r="U22" s="59"/>
      <c r="V22" s="59"/>
    </row>
    <row r="23" spans="1:32">
      <c r="A23" s="197"/>
      <c r="B23" s="48">
        <v>314086</v>
      </c>
      <c r="C23" s="274" t="s">
        <v>20</v>
      </c>
      <c r="D23" s="48"/>
      <c r="E23" s="48"/>
      <c r="F23" s="214" t="s">
        <v>187</v>
      </c>
      <c r="G23" s="267" t="s">
        <v>27</v>
      </c>
      <c r="H23" s="48"/>
      <c r="I23" s="48"/>
      <c r="J23" s="48"/>
      <c r="K23" s="48"/>
      <c r="L23" s="268" t="s">
        <v>209</v>
      </c>
      <c r="M23" s="48"/>
      <c r="N23" s="48"/>
      <c r="O23" s="48"/>
      <c r="P23" s="48"/>
      <c r="Q23" s="48"/>
      <c r="R23" s="59"/>
      <c r="S23" s="59"/>
      <c r="T23" s="59"/>
      <c r="U23" s="59"/>
      <c r="V23" s="59"/>
    </row>
    <row r="24" spans="1:32">
      <c r="A24" s="197"/>
      <c r="B24" s="48">
        <v>387993</v>
      </c>
      <c r="C24" s="274" t="s">
        <v>25</v>
      </c>
      <c r="D24" s="48"/>
      <c r="E24" s="48"/>
      <c r="F24" s="214" t="s">
        <v>179</v>
      </c>
      <c r="G24" s="58" t="s">
        <v>46</v>
      </c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59"/>
      <c r="S24" s="59"/>
      <c r="T24" s="59"/>
      <c r="U24" s="59"/>
      <c r="V24" s="59"/>
    </row>
    <row r="25" spans="1:32">
      <c r="A25" s="197"/>
      <c r="B25" s="48">
        <v>461326</v>
      </c>
      <c r="C25" s="274" t="s">
        <v>21</v>
      </c>
      <c r="D25" s="48"/>
      <c r="E25" s="48"/>
      <c r="F25" s="48"/>
      <c r="G25" s="267" t="s">
        <v>44</v>
      </c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59"/>
      <c r="S25" s="59"/>
      <c r="T25" s="59"/>
      <c r="U25" s="59"/>
      <c r="V25" s="59"/>
    </row>
    <row r="26" spans="1:32">
      <c r="A26" s="197"/>
      <c r="B26" s="48">
        <v>486556</v>
      </c>
      <c r="C26" s="274" t="s">
        <v>187</v>
      </c>
      <c r="D26" s="48"/>
      <c r="E26" s="48"/>
      <c r="F26" s="48"/>
      <c r="G26" s="277" t="s">
        <v>170</v>
      </c>
      <c r="H26" s="52"/>
      <c r="I26" s="48"/>
      <c r="J26" s="48"/>
      <c r="K26" s="48"/>
      <c r="L26" s="48"/>
      <c r="M26" s="48"/>
      <c r="N26" s="48"/>
      <c r="O26" s="48"/>
      <c r="P26" s="48"/>
      <c r="Q26" s="48"/>
      <c r="R26" s="59"/>
      <c r="S26" s="59"/>
      <c r="T26" s="59"/>
      <c r="U26" s="59"/>
      <c r="V26" s="59"/>
    </row>
    <row r="27" spans="1:32">
      <c r="B27" s="1">
        <v>502326</v>
      </c>
      <c r="C27" s="2" t="s">
        <v>56</v>
      </c>
      <c r="G27" s="259" t="s">
        <v>61</v>
      </c>
    </row>
    <row r="28" spans="1:32">
      <c r="B28" s="1">
        <v>503207</v>
      </c>
      <c r="C28" s="2" t="s">
        <v>170</v>
      </c>
      <c r="G28" s="259" t="s">
        <v>56</v>
      </c>
    </row>
    <row r="29" spans="1:32">
      <c r="B29" s="1">
        <v>441215</v>
      </c>
      <c r="C29" s="2" t="s">
        <v>27</v>
      </c>
      <c r="G29" s="259" t="s">
        <v>26</v>
      </c>
    </row>
    <row r="30" spans="1:32">
      <c r="B30" s="1">
        <v>473077</v>
      </c>
      <c r="C30" s="2" t="s">
        <v>22</v>
      </c>
      <c r="G30" s="276" t="s">
        <v>187</v>
      </c>
    </row>
    <row r="31" spans="1:32">
      <c r="B31" s="1">
        <v>451001</v>
      </c>
      <c r="C31" s="2" t="s">
        <v>44</v>
      </c>
      <c r="G31" s="259" t="s">
        <v>199</v>
      </c>
    </row>
    <row r="32" spans="1:32">
      <c r="B32" s="1">
        <v>204618</v>
      </c>
      <c r="C32" s="2" t="s">
        <v>32</v>
      </c>
    </row>
    <row r="33" spans="2:3">
      <c r="B33" s="1">
        <v>380502</v>
      </c>
      <c r="C33" s="2" t="s">
        <v>26</v>
      </c>
    </row>
    <row r="34" spans="2:3">
      <c r="B34" s="1">
        <v>526799</v>
      </c>
      <c r="C34" s="2" t="s">
        <v>180</v>
      </c>
    </row>
    <row r="35" spans="2:3">
      <c r="B35" s="1">
        <v>485803</v>
      </c>
      <c r="C35" s="2" t="s">
        <v>192</v>
      </c>
    </row>
  </sheetData>
  <mergeCells count="4">
    <mergeCell ref="B2:G2"/>
    <mergeCell ref="J2:P2"/>
    <mergeCell ref="C3:G3"/>
    <mergeCell ref="Y14:Z17"/>
  </mergeCells>
  <conditionalFormatting sqref="R5:V16">
    <cfRule type="cellIs" dxfId="5" priority="5" operator="equal">
      <formula>"Y"</formula>
    </cfRule>
    <cfRule type="cellIs" dxfId="4" priority="6" operator="equal">
      <formula>"N"</formula>
    </cfRule>
  </conditionalFormatting>
  <conditionalFormatting sqref="R5:V16">
    <cfRule type="cellIs" dxfId="3" priority="4" operator="equal">
      <formula>"U"</formula>
    </cfRule>
  </conditionalFormatting>
  <conditionalFormatting sqref="X4 X17:X21 X6:X15">
    <cfRule type="cellIs" dxfId="2" priority="1" stopIfTrue="1" operator="equal">
      <formula>"Y"</formula>
    </cfRule>
    <cfRule type="cellIs" dxfId="1" priority="2" stopIfTrue="1" operator="equal">
      <formula>"N"</formula>
    </cfRule>
    <cfRule type="cellIs" dxfId="0" priority="3" stopIfTrue="1" operator="equal">
      <formula>"Y?"</formula>
    </cfRule>
  </conditionalFormatting>
  <hyperlinks>
    <hyperlink ref="AA15" r:id="rId1"/>
    <hyperlink ref="AB6" r:id="rId2"/>
  </hyperlinks>
  <pageMargins left="0.39" right="0.41" top="1" bottom="1" header="0.5" footer="0.5"/>
  <pageSetup scale="52" orientation="landscape" r:id="rId3"/>
  <headerFooter>
    <oddHeader>&amp;F</oddHeader>
    <oddFooter>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55"/>
  <sheetViews>
    <sheetView topLeftCell="A102" zoomScale="80" zoomScaleNormal="80" workbookViewId="0">
      <selection activeCell="P107" sqref="P107:X123"/>
    </sheetView>
  </sheetViews>
  <sheetFormatPr defaultRowHeight="18.75" customHeight="1"/>
  <cols>
    <col min="1" max="7" width="11.28515625" style="216" customWidth="1"/>
    <col min="8" max="16" width="6.85546875" style="217" customWidth="1"/>
    <col min="17" max="18" width="9.140625" style="217"/>
    <col min="19" max="19" width="15.85546875" style="217" bestFit="1" customWidth="1"/>
    <col min="20" max="16384" width="9.140625" style="216"/>
  </cols>
  <sheetData>
    <row r="1" spans="1:22" ht="18.75" hidden="1" customHeight="1" thickBot="1">
      <c r="A1" s="231">
        <f>B1-1</f>
        <v>42456</v>
      </c>
      <c r="B1" s="219">
        <f>C1-1</f>
        <v>42457</v>
      </c>
      <c r="C1" s="219">
        <f>D1-1</f>
        <v>42458</v>
      </c>
      <c r="D1" s="219">
        <f>E1-1</f>
        <v>42459</v>
      </c>
      <c r="E1" s="219">
        <f>F1-1</f>
        <v>42460</v>
      </c>
      <c r="F1" s="228">
        <v>42461</v>
      </c>
      <c r="G1" s="218">
        <f t="shared" ref="G1:G32" si="0">F1+1</f>
        <v>42462</v>
      </c>
    </row>
    <row r="2" spans="1:22" ht="18.75" hidden="1" customHeight="1" thickBot="1">
      <c r="A2" s="218">
        <f t="shared" ref="A2:A33" si="1">G1+1</f>
        <v>42463</v>
      </c>
      <c r="B2" s="219">
        <f t="shared" ref="B2:F11" si="2">A2+1</f>
        <v>42464</v>
      </c>
      <c r="C2" s="219">
        <f t="shared" si="2"/>
        <v>42465</v>
      </c>
      <c r="D2" s="219">
        <f t="shared" si="2"/>
        <v>42466</v>
      </c>
      <c r="E2" s="219">
        <f t="shared" si="2"/>
        <v>42467</v>
      </c>
      <c r="F2" s="219">
        <f t="shared" si="2"/>
        <v>42468</v>
      </c>
      <c r="G2" s="218">
        <f t="shared" si="0"/>
        <v>42469</v>
      </c>
      <c r="H2" s="239" t="s">
        <v>19</v>
      </c>
      <c r="I2" s="239" t="s">
        <v>151</v>
      </c>
      <c r="J2" s="239" t="s">
        <v>31</v>
      </c>
      <c r="K2" s="239" t="s">
        <v>55</v>
      </c>
      <c r="L2" s="238" t="s">
        <v>38</v>
      </c>
      <c r="M2" s="237"/>
      <c r="N2" s="237"/>
      <c r="O2" s="237"/>
      <c r="P2" s="237"/>
    </row>
    <row r="3" spans="1:22" ht="18.75" hidden="1" customHeight="1">
      <c r="A3" s="225">
        <f t="shared" si="1"/>
        <v>42470</v>
      </c>
      <c r="B3" s="219">
        <f t="shared" si="2"/>
        <v>42471</v>
      </c>
      <c r="C3" s="219">
        <f t="shared" si="2"/>
        <v>42472</v>
      </c>
      <c r="D3" s="219">
        <f t="shared" si="2"/>
        <v>42473</v>
      </c>
      <c r="E3" s="219">
        <f t="shared" si="2"/>
        <v>42474</v>
      </c>
      <c r="F3" s="219">
        <f t="shared" si="2"/>
        <v>42475</v>
      </c>
      <c r="G3" s="218">
        <f t="shared" si="0"/>
        <v>42476</v>
      </c>
      <c r="H3" s="236" t="s">
        <v>28</v>
      </c>
      <c r="I3" s="235"/>
      <c r="J3" s="235"/>
      <c r="K3" s="235"/>
      <c r="L3" s="235"/>
      <c r="M3" s="222" t="s">
        <v>38</v>
      </c>
      <c r="N3" s="222"/>
      <c r="O3" s="222"/>
      <c r="P3" s="222"/>
      <c r="Q3" s="229" t="s">
        <v>150</v>
      </c>
      <c r="R3" s="229"/>
      <c r="S3" s="229" t="s">
        <v>149</v>
      </c>
      <c r="T3" s="229"/>
      <c r="U3" s="229"/>
      <c r="V3" s="229"/>
    </row>
    <row r="4" spans="1:22" ht="18.75" hidden="1" customHeight="1">
      <c r="A4" s="218">
        <f t="shared" si="1"/>
        <v>42477</v>
      </c>
      <c r="B4" s="219">
        <f t="shared" si="2"/>
        <v>42478</v>
      </c>
      <c r="C4" s="219">
        <f t="shared" si="2"/>
        <v>42479</v>
      </c>
      <c r="D4" s="219">
        <f t="shared" si="2"/>
        <v>42480</v>
      </c>
      <c r="E4" s="219">
        <f t="shared" si="2"/>
        <v>42481</v>
      </c>
      <c r="F4" s="219">
        <f t="shared" si="2"/>
        <v>42482</v>
      </c>
      <c r="G4" s="218">
        <f t="shared" si="0"/>
        <v>42483</v>
      </c>
      <c r="H4" s="224"/>
      <c r="I4" s="223"/>
      <c r="J4" s="223"/>
      <c r="K4" s="223"/>
      <c r="L4" s="223"/>
      <c r="M4" s="222" t="s">
        <v>31</v>
      </c>
      <c r="N4" s="222"/>
      <c r="O4" s="222"/>
      <c r="P4" s="222"/>
      <c r="Q4" s="229" t="s">
        <v>148</v>
      </c>
      <c r="R4" s="229"/>
      <c r="S4" s="229" t="s">
        <v>147</v>
      </c>
      <c r="T4" s="229"/>
      <c r="U4" s="229"/>
      <c r="V4" s="229"/>
    </row>
    <row r="5" spans="1:22" ht="18.75" hidden="1" customHeight="1" thickBot="1">
      <c r="A5" s="232">
        <f t="shared" si="1"/>
        <v>42484</v>
      </c>
      <c r="B5" s="219">
        <f t="shared" si="2"/>
        <v>42485</v>
      </c>
      <c r="C5" s="219">
        <f t="shared" si="2"/>
        <v>42486</v>
      </c>
      <c r="D5" s="219">
        <f t="shared" si="2"/>
        <v>42487</v>
      </c>
      <c r="E5" s="219">
        <f t="shared" si="2"/>
        <v>42488</v>
      </c>
      <c r="F5" s="219">
        <f t="shared" si="2"/>
        <v>42489</v>
      </c>
      <c r="G5" s="218">
        <f t="shared" si="0"/>
        <v>42490</v>
      </c>
      <c r="H5" s="224" t="s">
        <v>28</v>
      </c>
      <c r="I5" s="223"/>
      <c r="J5" s="223"/>
      <c r="K5" s="223"/>
      <c r="L5" s="223"/>
      <c r="M5" s="222" t="s">
        <v>146</v>
      </c>
      <c r="N5" s="222"/>
      <c r="O5" s="222"/>
      <c r="P5" s="222"/>
      <c r="Q5" s="229" t="s">
        <v>145</v>
      </c>
      <c r="R5" s="229"/>
      <c r="S5" s="229" t="s">
        <v>144</v>
      </c>
      <c r="T5" s="229"/>
      <c r="U5" s="229"/>
      <c r="V5" s="229"/>
    </row>
    <row r="6" spans="1:22" ht="18.75" hidden="1" customHeight="1" thickBot="1">
      <c r="A6" s="234">
        <f t="shared" si="1"/>
        <v>42491</v>
      </c>
      <c r="B6" s="219">
        <f t="shared" si="2"/>
        <v>42492</v>
      </c>
      <c r="C6" s="219">
        <f t="shared" si="2"/>
        <v>42493</v>
      </c>
      <c r="D6" s="219">
        <f t="shared" si="2"/>
        <v>42494</v>
      </c>
      <c r="E6" s="219">
        <f t="shared" si="2"/>
        <v>42495</v>
      </c>
      <c r="F6" s="219">
        <f t="shared" si="2"/>
        <v>42496</v>
      </c>
      <c r="G6" s="218">
        <f t="shared" si="0"/>
        <v>42497</v>
      </c>
      <c r="H6" s="224" t="s">
        <v>35</v>
      </c>
      <c r="I6" s="223"/>
      <c r="J6" s="223"/>
      <c r="K6" s="223"/>
      <c r="L6" s="223"/>
      <c r="M6" s="222" t="s">
        <v>55</v>
      </c>
      <c r="N6" s="222"/>
      <c r="O6" s="222"/>
      <c r="P6" s="222"/>
      <c r="Q6" s="229" t="s">
        <v>143</v>
      </c>
      <c r="R6" s="229"/>
      <c r="S6" s="229" t="s">
        <v>142</v>
      </c>
      <c r="T6" s="229"/>
      <c r="U6" s="229"/>
      <c r="V6" s="229"/>
    </row>
    <row r="7" spans="1:22" ht="18.75" hidden="1" customHeight="1">
      <c r="A7" s="218">
        <f t="shared" si="1"/>
        <v>42498</v>
      </c>
      <c r="B7" s="219">
        <f t="shared" si="2"/>
        <v>42499</v>
      </c>
      <c r="C7" s="219">
        <f t="shared" si="2"/>
        <v>42500</v>
      </c>
      <c r="D7" s="219">
        <f t="shared" si="2"/>
        <v>42501</v>
      </c>
      <c r="E7" s="219">
        <f t="shared" si="2"/>
        <v>42502</v>
      </c>
      <c r="F7" s="219">
        <f t="shared" si="2"/>
        <v>42503</v>
      </c>
      <c r="G7" s="218">
        <f t="shared" si="0"/>
        <v>42504</v>
      </c>
      <c r="H7" s="224"/>
      <c r="I7" s="223"/>
      <c r="J7" s="223"/>
      <c r="K7" s="223"/>
      <c r="L7" s="223"/>
      <c r="M7" s="222" t="s">
        <v>19</v>
      </c>
      <c r="N7" s="222"/>
      <c r="O7" s="222"/>
      <c r="P7" s="222"/>
      <c r="Q7" s="284" t="s">
        <v>141</v>
      </c>
      <c r="R7" s="284"/>
      <c r="S7" s="233" t="s">
        <v>140</v>
      </c>
      <c r="T7" s="229"/>
      <c r="U7" s="229"/>
      <c r="V7" s="229"/>
    </row>
    <row r="8" spans="1:22" ht="18.75" hidden="1" customHeight="1">
      <c r="A8" s="232">
        <f t="shared" si="1"/>
        <v>42505</v>
      </c>
      <c r="B8" s="219">
        <f t="shared" si="2"/>
        <v>42506</v>
      </c>
      <c r="C8" s="219">
        <f t="shared" si="2"/>
        <v>42507</v>
      </c>
      <c r="D8" s="219">
        <f t="shared" si="2"/>
        <v>42508</v>
      </c>
      <c r="E8" s="219">
        <f t="shared" si="2"/>
        <v>42509</v>
      </c>
      <c r="F8" s="219">
        <f t="shared" si="2"/>
        <v>42510</v>
      </c>
      <c r="G8" s="218">
        <f t="shared" si="0"/>
        <v>42511</v>
      </c>
      <c r="H8" s="224" t="s">
        <v>35</v>
      </c>
      <c r="I8" s="223"/>
      <c r="J8" s="223"/>
      <c r="K8" s="223"/>
      <c r="L8" s="223"/>
      <c r="M8" s="222"/>
      <c r="N8" s="222"/>
      <c r="O8" s="222"/>
      <c r="P8" s="222"/>
      <c r="Q8" s="284"/>
      <c r="R8" s="284"/>
      <c r="S8" s="229"/>
      <c r="T8" s="229"/>
      <c r="U8" s="229"/>
      <c r="V8" s="229"/>
    </row>
    <row r="9" spans="1:22" ht="18.75" hidden="1" customHeight="1" thickBot="1">
      <c r="A9" s="231">
        <f t="shared" si="1"/>
        <v>42512</v>
      </c>
      <c r="B9" s="219">
        <f t="shared" si="2"/>
        <v>42513</v>
      </c>
      <c r="C9" s="219">
        <f t="shared" si="2"/>
        <v>42514</v>
      </c>
      <c r="D9" s="219">
        <f t="shared" si="2"/>
        <v>42515</v>
      </c>
      <c r="E9" s="219">
        <f t="shared" si="2"/>
        <v>42516</v>
      </c>
      <c r="F9" s="219">
        <f t="shared" si="2"/>
        <v>42517</v>
      </c>
      <c r="G9" s="218">
        <f t="shared" si="0"/>
        <v>42518</v>
      </c>
      <c r="H9" s="224"/>
      <c r="I9" s="223"/>
      <c r="J9" s="223"/>
      <c r="K9" s="223"/>
      <c r="L9" s="223"/>
      <c r="M9" s="222"/>
      <c r="N9" s="222"/>
      <c r="O9" s="222"/>
      <c r="P9" s="222"/>
      <c r="Q9" s="284"/>
      <c r="R9" s="284"/>
      <c r="S9" s="229"/>
      <c r="T9" s="229"/>
      <c r="U9" s="229"/>
      <c r="V9" s="229"/>
    </row>
    <row r="10" spans="1:22" ht="18.75" hidden="1" customHeight="1" thickBot="1">
      <c r="A10" s="227">
        <f t="shared" si="1"/>
        <v>42519</v>
      </c>
      <c r="B10" s="227">
        <f t="shared" si="2"/>
        <v>42520</v>
      </c>
      <c r="C10" s="219">
        <f t="shared" si="2"/>
        <v>42521</v>
      </c>
      <c r="D10" s="228">
        <f t="shared" si="2"/>
        <v>42522</v>
      </c>
      <c r="E10" s="219">
        <f t="shared" si="2"/>
        <v>42523</v>
      </c>
      <c r="F10" s="219">
        <f t="shared" si="2"/>
        <v>42524</v>
      </c>
      <c r="G10" s="218">
        <f t="shared" si="0"/>
        <v>42525</v>
      </c>
      <c r="H10" s="224" t="s">
        <v>28</v>
      </c>
      <c r="I10" s="223"/>
      <c r="J10" s="223"/>
      <c r="K10" s="223"/>
      <c r="L10" s="223"/>
      <c r="M10" s="222"/>
      <c r="N10" s="222"/>
      <c r="O10" s="222"/>
      <c r="P10" s="222"/>
      <c r="Q10" s="284"/>
      <c r="R10" s="284"/>
      <c r="S10" s="229"/>
      <c r="T10" s="229"/>
      <c r="U10" s="229"/>
      <c r="V10" s="229"/>
    </row>
    <row r="11" spans="1:22" ht="18.75" hidden="1" customHeight="1">
      <c r="A11" s="218">
        <f t="shared" si="1"/>
        <v>42526</v>
      </c>
      <c r="B11" s="219">
        <f t="shared" si="2"/>
        <v>42527</v>
      </c>
      <c r="C11" s="219">
        <f t="shared" si="2"/>
        <v>42528</v>
      </c>
      <c r="D11" s="219">
        <f t="shared" si="2"/>
        <v>42529</v>
      </c>
      <c r="E11" s="219">
        <f t="shared" si="2"/>
        <v>42530</v>
      </c>
      <c r="F11" s="219">
        <f t="shared" si="2"/>
        <v>42531</v>
      </c>
      <c r="G11" s="218">
        <f t="shared" si="0"/>
        <v>42532</v>
      </c>
      <c r="H11" s="224"/>
      <c r="I11" s="223"/>
      <c r="J11" s="223"/>
      <c r="K11" s="223"/>
      <c r="L11" s="223"/>
      <c r="M11" s="222"/>
      <c r="N11" s="222"/>
      <c r="O11" s="222"/>
      <c r="P11" s="222"/>
      <c r="Q11" s="229" t="s">
        <v>139</v>
      </c>
      <c r="R11" s="229"/>
      <c r="S11" s="229"/>
      <c r="T11" s="229"/>
      <c r="U11" s="229"/>
      <c r="V11" s="229"/>
    </row>
    <row r="12" spans="1:22" ht="18.75" hidden="1" customHeight="1">
      <c r="A12" s="231">
        <f t="shared" si="1"/>
        <v>42533</v>
      </c>
      <c r="B12" s="219">
        <f t="shared" ref="B12:F21" si="3">A12+1</f>
        <v>42534</v>
      </c>
      <c r="C12" s="219">
        <f t="shared" si="3"/>
        <v>42535</v>
      </c>
      <c r="D12" s="219">
        <f t="shared" si="3"/>
        <v>42536</v>
      </c>
      <c r="E12" s="219">
        <f t="shared" si="3"/>
        <v>42537</v>
      </c>
      <c r="F12" s="219">
        <f t="shared" si="3"/>
        <v>42538</v>
      </c>
      <c r="G12" s="218">
        <f t="shared" si="0"/>
        <v>42539</v>
      </c>
      <c r="H12" s="224"/>
      <c r="I12" s="223"/>
      <c r="J12" s="223"/>
      <c r="K12" s="223"/>
      <c r="L12" s="223"/>
      <c r="M12" s="222"/>
      <c r="N12" s="222"/>
      <c r="O12" s="222"/>
      <c r="P12" s="222"/>
      <c r="Q12" s="229" t="s">
        <v>138</v>
      </c>
      <c r="R12" s="229"/>
      <c r="S12" s="229"/>
      <c r="T12" s="229"/>
      <c r="U12" s="229"/>
      <c r="V12" s="229"/>
    </row>
    <row r="13" spans="1:22" ht="18.75" hidden="1" customHeight="1" thickBot="1">
      <c r="A13" s="227">
        <f t="shared" si="1"/>
        <v>42540</v>
      </c>
      <c r="B13" s="219">
        <f t="shared" si="3"/>
        <v>42541</v>
      </c>
      <c r="C13" s="219">
        <f t="shared" si="3"/>
        <v>42542</v>
      </c>
      <c r="D13" s="219">
        <f t="shared" si="3"/>
        <v>42543</v>
      </c>
      <c r="E13" s="219">
        <f t="shared" si="3"/>
        <v>42544</v>
      </c>
      <c r="F13" s="219">
        <f t="shared" si="3"/>
        <v>42545</v>
      </c>
      <c r="G13" s="218">
        <f t="shared" si="0"/>
        <v>42546</v>
      </c>
      <c r="H13" s="224" t="s">
        <v>35</v>
      </c>
      <c r="I13" s="223"/>
      <c r="J13" s="223"/>
      <c r="K13" s="223"/>
      <c r="L13" s="223"/>
      <c r="M13" s="222"/>
      <c r="N13" s="222"/>
      <c r="O13" s="222"/>
      <c r="P13" s="222"/>
      <c r="Q13" s="229" t="s">
        <v>137</v>
      </c>
      <c r="R13" s="229"/>
      <c r="S13" s="229"/>
      <c r="T13" s="229"/>
      <c r="U13" s="229"/>
      <c r="V13" s="229"/>
    </row>
    <row r="14" spans="1:22" ht="18.75" hidden="1" customHeight="1" thickBot="1">
      <c r="A14" s="218">
        <f t="shared" si="1"/>
        <v>42547</v>
      </c>
      <c r="B14" s="219">
        <f t="shared" si="3"/>
        <v>42548</v>
      </c>
      <c r="C14" s="219">
        <f t="shared" si="3"/>
        <v>42549</v>
      </c>
      <c r="D14" s="219">
        <f t="shared" si="3"/>
        <v>42550</v>
      </c>
      <c r="E14" s="219">
        <f t="shared" si="3"/>
        <v>42551</v>
      </c>
      <c r="F14" s="228">
        <f t="shared" si="3"/>
        <v>42552</v>
      </c>
      <c r="G14" s="218">
        <f t="shared" si="0"/>
        <v>42553</v>
      </c>
      <c r="H14" s="224"/>
      <c r="I14" s="223"/>
      <c r="J14" s="223"/>
      <c r="K14" s="223"/>
      <c r="L14" s="223"/>
      <c r="M14" s="222"/>
      <c r="N14" s="222"/>
      <c r="O14" s="222"/>
      <c r="P14" s="222"/>
      <c r="Q14" s="229" t="s">
        <v>136</v>
      </c>
      <c r="R14" s="230"/>
      <c r="S14" s="229"/>
      <c r="T14" s="229"/>
      <c r="U14" s="229"/>
      <c r="V14" s="229"/>
    </row>
    <row r="15" spans="1:22" ht="18.75" hidden="1" customHeight="1">
      <c r="A15" s="225">
        <f t="shared" si="1"/>
        <v>42554</v>
      </c>
      <c r="B15" s="219">
        <f t="shared" si="3"/>
        <v>42555</v>
      </c>
      <c r="C15" s="219">
        <f t="shared" si="3"/>
        <v>42556</v>
      </c>
      <c r="D15" s="219">
        <f t="shared" si="3"/>
        <v>42557</v>
      </c>
      <c r="E15" s="219">
        <f t="shared" si="3"/>
        <v>42558</v>
      </c>
      <c r="F15" s="219">
        <f t="shared" si="3"/>
        <v>42559</v>
      </c>
      <c r="G15" s="218">
        <f t="shared" si="0"/>
        <v>42560</v>
      </c>
      <c r="H15" s="224" t="s">
        <v>28</v>
      </c>
      <c r="I15" s="223"/>
      <c r="J15" s="223"/>
      <c r="K15" s="223"/>
      <c r="L15" s="223"/>
      <c r="M15" s="222"/>
      <c r="N15" s="222"/>
      <c r="O15" s="222"/>
      <c r="P15" s="222"/>
    </row>
    <row r="16" spans="1:22" ht="18.75" hidden="1" customHeight="1">
      <c r="A16" s="218">
        <f t="shared" si="1"/>
        <v>42561</v>
      </c>
      <c r="B16" s="219">
        <f t="shared" si="3"/>
        <v>42562</v>
      </c>
      <c r="C16" s="219">
        <f t="shared" si="3"/>
        <v>42563</v>
      </c>
      <c r="D16" s="219">
        <f t="shared" si="3"/>
        <v>42564</v>
      </c>
      <c r="E16" s="219">
        <f t="shared" si="3"/>
        <v>42565</v>
      </c>
      <c r="F16" s="219">
        <f t="shared" si="3"/>
        <v>42566</v>
      </c>
      <c r="G16" s="218">
        <f t="shared" si="0"/>
        <v>42567</v>
      </c>
      <c r="H16" s="224"/>
      <c r="I16" s="223"/>
      <c r="J16" s="223"/>
      <c r="K16" s="223"/>
      <c r="L16" s="223"/>
      <c r="M16" s="222"/>
      <c r="N16" s="222"/>
      <c r="O16" s="222"/>
      <c r="P16" s="222"/>
    </row>
    <row r="17" spans="1:16" ht="18.75" hidden="1" customHeight="1">
      <c r="A17" s="218">
        <f t="shared" si="1"/>
        <v>42568</v>
      </c>
      <c r="B17" s="219">
        <f t="shared" si="3"/>
        <v>42569</v>
      </c>
      <c r="C17" s="219">
        <f t="shared" si="3"/>
        <v>42570</v>
      </c>
      <c r="D17" s="219">
        <f t="shared" si="3"/>
        <v>42571</v>
      </c>
      <c r="E17" s="219">
        <f t="shared" si="3"/>
        <v>42572</v>
      </c>
      <c r="F17" s="219">
        <f t="shared" si="3"/>
        <v>42573</v>
      </c>
      <c r="G17" s="218">
        <f t="shared" si="0"/>
        <v>42574</v>
      </c>
      <c r="H17" s="224"/>
      <c r="I17" s="223"/>
      <c r="J17" s="223"/>
      <c r="K17" s="223"/>
      <c r="L17" s="223"/>
      <c r="M17" s="222"/>
      <c r="N17" s="222"/>
      <c r="O17" s="222"/>
      <c r="P17" s="222"/>
    </row>
    <row r="18" spans="1:16" ht="18.75" hidden="1" customHeight="1" thickBot="1">
      <c r="A18" s="225">
        <f t="shared" si="1"/>
        <v>42575</v>
      </c>
      <c r="B18" s="219">
        <f t="shared" si="3"/>
        <v>42576</v>
      </c>
      <c r="C18" s="219">
        <f t="shared" si="3"/>
        <v>42577</v>
      </c>
      <c r="D18" s="219">
        <f t="shared" si="3"/>
        <v>42578</v>
      </c>
      <c r="E18" s="219">
        <f t="shared" si="3"/>
        <v>42579</v>
      </c>
      <c r="F18" s="219">
        <f t="shared" si="3"/>
        <v>42580</v>
      </c>
      <c r="G18" s="218">
        <f t="shared" si="0"/>
        <v>42581</v>
      </c>
      <c r="H18" s="224" t="s">
        <v>35</v>
      </c>
      <c r="I18" s="223"/>
      <c r="J18" s="223"/>
      <c r="K18" s="223"/>
      <c r="L18" s="223"/>
      <c r="M18" s="222"/>
      <c r="N18" s="222"/>
      <c r="O18" s="222"/>
      <c r="P18" s="222"/>
    </row>
    <row r="19" spans="1:16" ht="18.75" hidden="1" customHeight="1" thickBot="1">
      <c r="A19" s="218">
        <f t="shared" si="1"/>
        <v>42582</v>
      </c>
      <c r="B19" s="228">
        <f t="shared" si="3"/>
        <v>42583</v>
      </c>
      <c r="C19" s="219">
        <f t="shared" si="3"/>
        <v>42584</v>
      </c>
      <c r="D19" s="219">
        <f t="shared" si="3"/>
        <v>42585</v>
      </c>
      <c r="E19" s="219">
        <f t="shared" si="3"/>
        <v>42586</v>
      </c>
      <c r="F19" s="219">
        <f t="shared" si="3"/>
        <v>42587</v>
      </c>
      <c r="G19" s="218">
        <f t="shared" si="0"/>
        <v>42588</v>
      </c>
      <c r="H19" s="224"/>
      <c r="I19" s="223"/>
      <c r="J19" s="223"/>
      <c r="K19" s="223"/>
      <c r="L19" s="223"/>
      <c r="M19" s="222"/>
      <c r="N19" s="222"/>
      <c r="O19" s="222"/>
      <c r="P19" s="222"/>
    </row>
    <row r="20" spans="1:16" ht="18.75" hidden="1" customHeight="1">
      <c r="A20" s="218">
        <f t="shared" si="1"/>
        <v>42589</v>
      </c>
      <c r="B20" s="219">
        <f t="shared" si="3"/>
        <v>42590</v>
      </c>
      <c r="C20" s="219">
        <f t="shared" si="3"/>
        <v>42591</v>
      </c>
      <c r="D20" s="219">
        <f t="shared" si="3"/>
        <v>42592</v>
      </c>
      <c r="E20" s="219">
        <f t="shared" si="3"/>
        <v>42593</v>
      </c>
      <c r="F20" s="219">
        <f t="shared" si="3"/>
        <v>42594</v>
      </c>
      <c r="G20" s="218">
        <f t="shared" si="0"/>
        <v>42595</v>
      </c>
      <c r="H20" s="224"/>
      <c r="I20" s="223"/>
      <c r="J20" s="223"/>
      <c r="K20" s="223"/>
      <c r="L20" s="223"/>
      <c r="M20" s="222"/>
      <c r="N20" s="222"/>
      <c r="O20" s="222"/>
      <c r="P20" s="222"/>
    </row>
    <row r="21" spans="1:16" ht="18.75" hidden="1" customHeight="1">
      <c r="A21" s="225">
        <f t="shared" si="1"/>
        <v>42596</v>
      </c>
      <c r="B21" s="219">
        <f t="shared" si="3"/>
        <v>42597</v>
      </c>
      <c r="C21" s="219">
        <f t="shared" si="3"/>
        <v>42598</v>
      </c>
      <c r="D21" s="219">
        <f t="shared" si="3"/>
        <v>42599</v>
      </c>
      <c r="E21" s="219">
        <f t="shared" si="3"/>
        <v>42600</v>
      </c>
      <c r="F21" s="219">
        <f t="shared" si="3"/>
        <v>42601</v>
      </c>
      <c r="G21" s="218">
        <f t="shared" si="0"/>
        <v>42602</v>
      </c>
      <c r="H21" s="224" t="s">
        <v>28</v>
      </c>
      <c r="I21" s="223"/>
      <c r="J21" s="223"/>
      <c r="K21" s="223"/>
      <c r="L21" s="223"/>
      <c r="M21" s="222"/>
      <c r="N21" s="222"/>
      <c r="O21" s="222"/>
      <c r="P21" s="222"/>
    </row>
    <row r="22" spans="1:16" ht="18.75" hidden="1" customHeight="1" thickBot="1">
      <c r="A22" s="218">
        <f t="shared" si="1"/>
        <v>42603</v>
      </c>
      <c r="B22" s="219">
        <f t="shared" ref="B22:F31" si="4">A22+1</f>
        <v>42604</v>
      </c>
      <c r="C22" s="219">
        <f t="shared" si="4"/>
        <v>42605</v>
      </c>
      <c r="D22" s="219">
        <f t="shared" si="4"/>
        <v>42606</v>
      </c>
      <c r="E22" s="219">
        <f t="shared" si="4"/>
        <v>42607</v>
      </c>
      <c r="F22" s="219">
        <f t="shared" si="4"/>
        <v>42608</v>
      </c>
      <c r="G22" s="218">
        <f t="shared" si="0"/>
        <v>42609</v>
      </c>
      <c r="H22" s="224"/>
      <c r="I22" s="223"/>
      <c r="J22" s="223"/>
      <c r="K22" s="223"/>
      <c r="L22" s="223"/>
      <c r="M22" s="222"/>
      <c r="N22" s="222"/>
      <c r="O22" s="222"/>
      <c r="P22" s="222"/>
    </row>
    <row r="23" spans="1:16" ht="18.75" hidden="1" customHeight="1" thickBot="1">
      <c r="A23" s="218">
        <f t="shared" si="1"/>
        <v>42610</v>
      </c>
      <c r="B23" s="219">
        <f t="shared" si="4"/>
        <v>42611</v>
      </c>
      <c r="C23" s="219">
        <f t="shared" si="4"/>
        <v>42612</v>
      </c>
      <c r="D23" s="219">
        <f t="shared" si="4"/>
        <v>42613</v>
      </c>
      <c r="E23" s="228">
        <f t="shared" si="4"/>
        <v>42614</v>
      </c>
      <c r="F23" s="219">
        <f t="shared" si="4"/>
        <v>42615</v>
      </c>
      <c r="G23" s="218">
        <f t="shared" si="0"/>
        <v>42616</v>
      </c>
      <c r="H23" s="224"/>
      <c r="I23" s="223"/>
      <c r="J23" s="223"/>
      <c r="K23" s="223"/>
      <c r="L23" s="223"/>
      <c r="M23" s="222"/>
      <c r="N23" s="222"/>
      <c r="O23" s="222"/>
      <c r="P23" s="222"/>
    </row>
    <row r="24" spans="1:16" ht="18.75" hidden="1" customHeight="1">
      <c r="A24" s="227">
        <f t="shared" si="1"/>
        <v>42617</v>
      </c>
      <c r="B24" s="219">
        <f t="shared" si="4"/>
        <v>42618</v>
      </c>
      <c r="C24" s="219">
        <f t="shared" si="4"/>
        <v>42619</v>
      </c>
      <c r="D24" s="219">
        <f t="shared" si="4"/>
        <v>42620</v>
      </c>
      <c r="E24" s="219">
        <f t="shared" si="4"/>
        <v>42621</v>
      </c>
      <c r="F24" s="219">
        <f t="shared" si="4"/>
        <v>42622</v>
      </c>
      <c r="G24" s="218">
        <f t="shared" si="0"/>
        <v>42623</v>
      </c>
      <c r="H24" s="224" t="s">
        <v>28</v>
      </c>
      <c r="I24" s="223"/>
      <c r="J24" s="223"/>
      <c r="K24" s="223"/>
      <c r="L24" s="223"/>
      <c r="M24" s="222"/>
      <c r="N24" s="222"/>
      <c r="O24" s="222"/>
      <c r="P24" s="222"/>
    </row>
    <row r="25" spans="1:16" ht="18.75" hidden="1" customHeight="1">
      <c r="A25" s="218">
        <f t="shared" si="1"/>
        <v>42624</v>
      </c>
      <c r="B25" s="219">
        <f t="shared" si="4"/>
        <v>42625</v>
      </c>
      <c r="C25" s="219">
        <f t="shared" si="4"/>
        <v>42626</v>
      </c>
      <c r="D25" s="219">
        <f t="shared" si="4"/>
        <v>42627</v>
      </c>
      <c r="E25" s="219">
        <f t="shared" si="4"/>
        <v>42628</v>
      </c>
      <c r="F25" s="219">
        <f t="shared" si="4"/>
        <v>42629</v>
      </c>
      <c r="G25" s="218">
        <f t="shared" si="0"/>
        <v>42630</v>
      </c>
      <c r="H25" s="224"/>
      <c r="I25" s="223"/>
      <c r="J25" s="223"/>
      <c r="K25" s="223"/>
      <c r="L25" s="223"/>
      <c r="M25" s="222"/>
      <c r="N25" s="222"/>
      <c r="O25" s="222"/>
      <c r="P25" s="222"/>
    </row>
    <row r="26" spans="1:16" ht="18.75" hidden="1" customHeight="1" thickBot="1">
      <c r="A26" s="225">
        <f t="shared" si="1"/>
        <v>42631</v>
      </c>
      <c r="B26" s="219">
        <f t="shared" si="4"/>
        <v>42632</v>
      </c>
      <c r="C26" s="219">
        <f t="shared" si="4"/>
        <v>42633</v>
      </c>
      <c r="D26" s="219">
        <f t="shared" si="4"/>
        <v>42634</v>
      </c>
      <c r="E26" s="219">
        <f t="shared" si="4"/>
        <v>42635</v>
      </c>
      <c r="F26" s="219">
        <f t="shared" si="4"/>
        <v>42636</v>
      </c>
      <c r="G26" s="218">
        <f t="shared" si="0"/>
        <v>42637</v>
      </c>
      <c r="H26" s="224" t="s">
        <v>35</v>
      </c>
      <c r="I26" s="223"/>
      <c r="J26" s="223"/>
      <c r="K26" s="223"/>
      <c r="L26" s="223"/>
      <c r="M26" s="222"/>
      <c r="N26" s="222"/>
      <c r="O26" s="222"/>
      <c r="P26" s="222"/>
    </row>
    <row r="27" spans="1:16" ht="18.75" hidden="1" customHeight="1" thickBot="1">
      <c r="A27" s="218">
        <f t="shared" si="1"/>
        <v>42638</v>
      </c>
      <c r="B27" s="219">
        <f t="shared" si="4"/>
        <v>42639</v>
      </c>
      <c r="C27" s="219">
        <f t="shared" si="4"/>
        <v>42640</v>
      </c>
      <c r="D27" s="219">
        <f t="shared" si="4"/>
        <v>42641</v>
      </c>
      <c r="E27" s="219">
        <f t="shared" si="4"/>
        <v>42642</v>
      </c>
      <c r="F27" s="219">
        <f t="shared" si="4"/>
        <v>42643</v>
      </c>
      <c r="G27" s="226">
        <f t="shared" si="0"/>
        <v>42644</v>
      </c>
      <c r="H27" s="224"/>
      <c r="I27" s="223"/>
      <c r="J27" s="223"/>
      <c r="K27" s="223"/>
      <c r="L27" s="223"/>
      <c r="M27" s="222"/>
      <c r="N27" s="222"/>
      <c r="O27" s="222"/>
      <c r="P27" s="222"/>
    </row>
    <row r="28" spans="1:16" ht="18.75" hidden="1" customHeight="1">
      <c r="A28" s="218">
        <f t="shared" si="1"/>
        <v>42645</v>
      </c>
      <c r="B28" s="219">
        <f t="shared" si="4"/>
        <v>42646</v>
      </c>
      <c r="C28" s="219">
        <f t="shared" si="4"/>
        <v>42647</v>
      </c>
      <c r="D28" s="219">
        <f t="shared" si="4"/>
        <v>42648</v>
      </c>
      <c r="E28" s="219">
        <f t="shared" si="4"/>
        <v>42649</v>
      </c>
      <c r="F28" s="219">
        <f t="shared" si="4"/>
        <v>42650</v>
      </c>
      <c r="G28" s="218">
        <f t="shared" si="0"/>
        <v>42651</v>
      </c>
      <c r="H28" s="224"/>
      <c r="I28" s="223"/>
      <c r="J28" s="223"/>
      <c r="K28" s="223"/>
      <c r="L28" s="223"/>
      <c r="M28" s="222"/>
      <c r="N28" s="222"/>
      <c r="O28" s="222"/>
      <c r="P28" s="222"/>
    </row>
    <row r="29" spans="1:16" ht="18.75" hidden="1" customHeight="1">
      <c r="A29" s="225">
        <f t="shared" si="1"/>
        <v>42652</v>
      </c>
      <c r="B29" s="219">
        <f t="shared" si="4"/>
        <v>42653</v>
      </c>
      <c r="C29" s="219">
        <f t="shared" si="4"/>
        <v>42654</v>
      </c>
      <c r="D29" s="219">
        <f t="shared" si="4"/>
        <v>42655</v>
      </c>
      <c r="E29" s="219">
        <f t="shared" si="4"/>
        <v>42656</v>
      </c>
      <c r="F29" s="219">
        <f t="shared" si="4"/>
        <v>42657</v>
      </c>
      <c r="G29" s="218">
        <f t="shared" si="0"/>
        <v>42658</v>
      </c>
      <c r="H29" s="224" t="s">
        <v>103</v>
      </c>
      <c r="I29" s="223"/>
      <c r="J29" s="223"/>
      <c r="K29" s="223"/>
      <c r="L29" s="223"/>
      <c r="M29" s="222"/>
      <c r="N29" s="222"/>
      <c r="O29" s="222"/>
      <c r="P29" s="222"/>
    </row>
    <row r="30" spans="1:16" ht="18.75" hidden="1" customHeight="1">
      <c r="A30" s="218">
        <f t="shared" si="1"/>
        <v>42659</v>
      </c>
      <c r="B30" s="219">
        <f t="shared" si="4"/>
        <v>42660</v>
      </c>
      <c r="C30" s="219">
        <f t="shared" si="4"/>
        <v>42661</v>
      </c>
      <c r="D30" s="219">
        <f t="shared" si="4"/>
        <v>42662</v>
      </c>
      <c r="E30" s="219">
        <f t="shared" si="4"/>
        <v>42663</v>
      </c>
      <c r="F30" s="219">
        <f t="shared" si="4"/>
        <v>42664</v>
      </c>
      <c r="G30" s="218">
        <f t="shared" si="0"/>
        <v>42665</v>
      </c>
      <c r="H30" s="224"/>
      <c r="I30" s="223"/>
      <c r="J30" s="223"/>
      <c r="K30" s="223"/>
      <c r="L30" s="223"/>
      <c r="M30" s="222"/>
      <c r="N30" s="222"/>
      <c r="O30" s="222"/>
      <c r="P30" s="222"/>
    </row>
    <row r="31" spans="1:16" ht="18.75" hidden="1" customHeight="1">
      <c r="A31" s="218">
        <f t="shared" si="1"/>
        <v>42666</v>
      </c>
      <c r="B31" s="219">
        <f t="shared" si="4"/>
        <v>42667</v>
      </c>
      <c r="C31" s="219">
        <f t="shared" si="4"/>
        <v>42668</v>
      </c>
      <c r="D31" s="219">
        <f t="shared" si="4"/>
        <v>42669</v>
      </c>
      <c r="E31" s="219">
        <f t="shared" si="4"/>
        <v>42670</v>
      </c>
      <c r="F31" s="219">
        <f t="shared" si="4"/>
        <v>42671</v>
      </c>
      <c r="G31" s="218">
        <f t="shared" si="0"/>
        <v>42672</v>
      </c>
    </row>
    <row r="32" spans="1:16" ht="18.75" hidden="1" customHeight="1">
      <c r="A32" s="218">
        <f t="shared" si="1"/>
        <v>42673</v>
      </c>
      <c r="B32" s="219">
        <f t="shared" ref="B32:F41" si="5">A32+1</f>
        <v>42674</v>
      </c>
      <c r="C32" s="219">
        <f t="shared" si="5"/>
        <v>42675</v>
      </c>
      <c r="D32" s="219">
        <f t="shared" si="5"/>
        <v>42676</v>
      </c>
      <c r="E32" s="219">
        <f t="shared" si="5"/>
        <v>42677</v>
      </c>
      <c r="F32" s="219">
        <f t="shared" si="5"/>
        <v>42678</v>
      </c>
      <c r="G32" s="218">
        <f t="shared" si="0"/>
        <v>42679</v>
      </c>
    </row>
    <row r="33" spans="1:7" ht="18.75" hidden="1" customHeight="1">
      <c r="A33" s="218">
        <f t="shared" si="1"/>
        <v>42680</v>
      </c>
      <c r="B33" s="219">
        <f t="shared" si="5"/>
        <v>42681</v>
      </c>
      <c r="C33" s="219">
        <f t="shared" si="5"/>
        <v>42682</v>
      </c>
      <c r="D33" s="219">
        <f t="shared" si="5"/>
        <v>42683</v>
      </c>
      <c r="E33" s="219">
        <f t="shared" si="5"/>
        <v>42684</v>
      </c>
      <c r="F33" s="219">
        <f t="shared" si="5"/>
        <v>42685</v>
      </c>
      <c r="G33" s="218">
        <f t="shared" ref="G33:G64" si="6">F33+1</f>
        <v>42686</v>
      </c>
    </row>
    <row r="34" spans="1:7" ht="18.75" hidden="1" customHeight="1">
      <c r="A34" s="218">
        <f t="shared" ref="A34:A65" si="7">G33+1</f>
        <v>42687</v>
      </c>
      <c r="B34" s="219">
        <f t="shared" si="5"/>
        <v>42688</v>
      </c>
      <c r="C34" s="219">
        <f t="shared" si="5"/>
        <v>42689</v>
      </c>
      <c r="D34" s="219">
        <f t="shared" si="5"/>
        <v>42690</v>
      </c>
      <c r="E34" s="219">
        <f t="shared" si="5"/>
        <v>42691</v>
      </c>
      <c r="F34" s="219">
        <f t="shared" si="5"/>
        <v>42692</v>
      </c>
      <c r="G34" s="218">
        <f t="shared" si="6"/>
        <v>42693</v>
      </c>
    </row>
    <row r="35" spans="1:7" ht="18.75" hidden="1" customHeight="1">
      <c r="A35" s="218">
        <f t="shared" si="7"/>
        <v>42694</v>
      </c>
      <c r="B35" s="219">
        <f t="shared" si="5"/>
        <v>42695</v>
      </c>
      <c r="C35" s="219">
        <f t="shared" si="5"/>
        <v>42696</v>
      </c>
      <c r="D35" s="219">
        <f t="shared" si="5"/>
        <v>42697</v>
      </c>
      <c r="E35" s="219">
        <f t="shared" si="5"/>
        <v>42698</v>
      </c>
      <c r="F35" s="219">
        <f t="shared" si="5"/>
        <v>42699</v>
      </c>
      <c r="G35" s="218">
        <f t="shared" si="6"/>
        <v>42700</v>
      </c>
    </row>
    <row r="36" spans="1:7" ht="18.75" hidden="1" customHeight="1">
      <c r="A36" s="218">
        <f t="shared" si="7"/>
        <v>42701</v>
      </c>
      <c r="B36" s="219">
        <f t="shared" si="5"/>
        <v>42702</v>
      </c>
      <c r="C36" s="219">
        <f t="shared" si="5"/>
        <v>42703</v>
      </c>
      <c r="D36" s="219">
        <f t="shared" si="5"/>
        <v>42704</v>
      </c>
      <c r="E36" s="219">
        <f t="shared" si="5"/>
        <v>42705</v>
      </c>
      <c r="F36" s="219">
        <f t="shared" si="5"/>
        <v>42706</v>
      </c>
      <c r="G36" s="218">
        <f t="shared" si="6"/>
        <v>42707</v>
      </c>
    </row>
    <row r="37" spans="1:7" ht="18.75" hidden="1" customHeight="1">
      <c r="A37" s="218">
        <f t="shared" si="7"/>
        <v>42708</v>
      </c>
      <c r="B37" s="219">
        <f t="shared" si="5"/>
        <v>42709</v>
      </c>
      <c r="C37" s="219">
        <f t="shared" si="5"/>
        <v>42710</v>
      </c>
      <c r="D37" s="219">
        <f t="shared" si="5"/>
        <v>42711</v>
      </c>
      <c r="E37" s="219">
        <f t="shared" si="5"/>
        <v>42712</v>
      </c>
      <c r="F37" s="219">
        <f t="shared" si="5"/>
        <v>42713</v>
      </c>
      <c r="G37" s="218">
        <f t="shared" si="6"/>
        <v>42714</v>
      </c>
    </row>
    <row r="38" spans="1:7" ht="18.75" hidden="1" customHeight="1">
      <c r="A38" s="218">
        <f t="shared" si="7"/>
        <v>42715</v>
      </c>
      <c r="B38" s="219">
        <f t="shared" si="5"/>
        <v>42716</v>
      </c>
      <c r="C38" s="219">
        <f t="shared" si="5"/>
        <v>42717</v>
      </c>
      <c r="D38" s="219">
        <f t="shared" si="5"/>
        <v>42718</v>
      </c>
      <c r="E38" s="219">
        <f t="shared" si="5"/>
        <v>42719</v>
      </c>
      <c r="F38" s="219">
        <f t="shared" si="5"/>
        <v>42720</v>
      </c>
      <c r="G38" s="218">
        <f t="shared" si="6"/>
        <v>42721</v>
      </c>
    </row>
    <row r="39" spans="1:7" ht="18.75" hidden="1" customHeight="1">
      <c r="A39" s="218">
        <f t="shared" si="7"/>
        <v>42722</v>
      </c>
      <c r="B39" s="219">
        <f t="shared" si="5"/>
        <v>42723</v>
      </c>
      <c r="C39" s="219">
        <f t="shared" si="5"/>
        <v>42724</v>
      </c>
      <c r="D39" s="219">
        <f t="shared" si="5"/>
        <v>42725</v>
      </c>
      <c r="E39" s="219">
        <f t="shared" si="5"/>
        <v>42726</v>
      </c>
      <c r="F39" s="219">
        <f t="shared" si="5"/>
        <v>42727</v>
      </c>
      <c r="G39" s="218">
        <f t="shared" si="6"/>
        <v>42728</v>
      </c>
    </row>
    <row r="40" spans="1:7" ht="18.75" hidden="1" customHeight="1" thickBot="1">
      <c r="A40" s="220">
        <f t="shared" si="7"/>
        <v>42729</v>
      </c>
      <c r="B40" s="221">
        <f t="shared" si="5"/>
        <v>42730</v>
      </c>
      <c r="C40" s="221">
        <f t="shared" si="5"/>
        <v>42731</v>
      </c>
      <c r="D40" s="221">
        <f t="shared" si="5"/>
        <v>42732</v>
      </c>
      <c r="E40" s="221">
        <f t="shared" si="5"/>
        <v>42733</v>
      </c>
      <c r="F40" s="221">
        <f t="shared" si="5"/>
        <v>42734</v>
      </c>
      <c r="G40" s="220">
        <f t="shared" si="6"/>
        <v>42735</v>
      </c>
    </row>
    <row r="41" spans="1:7" ht="18.75" hidden="1" customHeight="1">
      <c r="A41" s="218">
        <f t="shared" si="7"/>
        <v>42736</v>
      </c>
      <c r="B41" s="219">
        <f t="shared" si="5"/>
        <v>42737</v>
      </c>
      <c r="C41" s="219">
        <f t="shared" si="5"/>
        <v>42738</v>
      </c>
      <c r="D41" s="219">
        <f t="shared" si="5"/>
        <v>42739</v>
      </c>
      <c r="E41" s="219">
        <f t="shared" si="5"/>
        <v>42740</v>
      </c>
      <c r="F41" s="219">
        <f t="shared" si="5"/>
        <v>42741</v>
      </c>
      <c r="G41" s="218">
        <f t="shared" si="6"/>
        <v>42742</v>
      </c>
    </row>
    <row r="42" spans="1:7" ht="18.75" hidden="1" customHeight="1">
      <c r="A42" s="218">
        <f t="shared" si="7"/>
        <v>42743</v>
      </c>
      <c r="B42" s="219">
        <f t="shared" ref="B42:F51" si="8">A42+1</f>
        <v>42744</v>
      </c>
      <c r="C42" s="219">
        <f t="shared" si="8"/>
        <v>42745</v>
      </c>
      <c r="D42" s="219">
        <f t="shared" si="8"/>
        <v>42746</v>
      </c>
      <c r="E42" s="219">
        <f t="shared" si="8"/>
        <v>42747</v>
      </c>
      <c r="F42" s="219">
        <f t="shared" si="8"/>
        <v>42748</v>
      </c>
      <c r="G42" s="218">
        <f t="shared" si="6"/>
        <v>42749</v>
      </c>
    </row>
    <row r="43" spans="1:7" ht="18.75" hidden="1" customHeight="1">
      <c r="A43" s="218">
        <f t="shared" si="7"/>
        <v>42750</v>
      </c>
      <c r="B43" s="219">
        <f t="shared" si="8"/>
        <v>42751</v>
      </c>
      <c r="C43" s="219">
        <f t="shared" si="8"/>
        <v>42752</v>
      </c>
      <c r="D43" s="219">
        <f t="shared" si="8"/>
        <v>42753</v>
      </c>
      <c r="E43" s="219">
        <f t="shared" si="8"/>
        <v>42754</v>
      </c>
      <c r="F43" s="219">
        <f t="shared" si="8"/>
        <v>42755</v>
      </c>
      <c r="G43" s="218">
        <f t="shared" si="6"/>
        <v>42756</v>
      </c>
    </row>
    <row r="44" spans="1:7" ht="18.75" hidden="1" customHeight="1">
      <c r="A44" s="218">
        <f t="shared" si="7"/>
        <v>42757</v>
      </c>
      <c r="B44" s="219">
        <f t="shared" si="8"/>
        <v>42758</v>
      </c>
      <c r="C44" s="219">
        <f t="shared" si="8"/>
        <v>42759</v>
      </c>
      <c r="D44" s="219">
        <f t="shared" si="8"/>
        <v>42760</v>
      </c>
      <c r="E44" s="219">
        <f t="shared" si="8"/>
        <v>42761</v>
      </c>
      <c r="F44" s="219">
        <f t="shared" si="8"/>
        <v>42762</v>
      </c>
      <c r="G44" s="218">
        <f t="shared" si="6"/>
        <v>42763</v>
      </c>
    </row>
    <row r="45" spans="1:7" ht="18.75" hidden="1" customHeight="1">
      <c r="A45" s="218">
        <f t="shared" si="7"/>
        <v>42764</v>
      </c>
      <c r="B45" s="219">
        <f t="shared" si="8"/>
        <v>42765</v>
      </c>
      <c r="C45" s="219">
        <f t="shared" si="8"/>
        <v>42766</v>
      </c>
      <c r="D45" s="219">
        <f t="shared" si="8"/>
        <v>42767</v>
      </c>
      <c r="E45" s="219">
        <f t="shared" si="8"/>
        <v>42768</v>
      </c>
      <c r="F45" s="219">
        <f t="shared" si="8"/>
        <v>42769</v>
      </c>
      <c r="G45" s="218">
        <f t="shared" si="6"/>
        <v>42770</v>
      </c>
    </row>
    <row r="46" spans="1:7" ht="18.75" hidden="1" customHeight="1">
      <c r="A46" s="218">
        <f t="shared" si="7"/>
        <v>42771</v>
      </c>
      <c r="B46" s="219">
        <f t="shared" si="8"/>
        <v>42772</v>
      </c>
      <c r="C46" s="219">
        <f t="shared" si="8"/>
        <v>42773</v>
      </c>
      <c r="D46" s="219">
        <f t="shared" si="8"/>
        <v>42774</v>
      </c>
      <c r="E46" s="219">
        <f t="shared" si="8"/>
        <v>42775</v>
      </c>
      <c r="F46" s="219">
        <f t="shared" si="8"/>
        <v>42776</v>
      </c>
      <c r="G46" s="218">
        <f t="shared" si="6"/>
        <v>42777</v>
      </c>
    </row>
    <row r="47" spans="1:7" ht="18.75" hidden="1" customHeight="1">
      <c r="A47" s="218">
        <f t="shared" si="7"/>
        <v>42778</v>
      </c>
      <c r="B47" s="219">
        <f t="shared" si="8"/>
        <v>42779</v>
      </c>
      <c r="C47" s="219">
        <f t="shared" si="8"/>
        <v>42780</v>
      </c>
      <c r="D47" s="219">
        <f t="shared" si="8"/>
        <v>42781</v>
      </c>
      <c r="E47" s="219">
        <f t="shared" si="8"/>
        <v>42782</v>
      </c>
      <c r="F47" s="219">
        <f t="shared" si="8"/>
        <v>42783</v>
      </c>
      <c r="G47" s="218">
        <f t="shared" si="6"/>
        <v>42784</v>
      </c>
    </row>
    <row r="48" spans="1:7" ht="18.75" hidden="1" customHeight="1">
      <c r="A48" s="218">
        <f t="shared" si="7"/>
        <v>42785</v>
      </c>
      <c r="B48" s="219">
        <f t="shared" si="8"/>
        <v>42786</v>
      </c>
      <c r="C48" s="219">
        <f t="shared" si="8"/>
        <v>42787</v>
      </c>
      <c r="D48" s="219">
        <f t="shared" si="8"/>
        <v>42788</v>
      </c>
      <c r="E48" s="219">
        <f t="shared" si="8"/>
        <v>42789</v>
      </c>
      <c r="F48" s="219">
        <f t="shared" si="8"/>
        <v>42790</v>
      </c>
      <c r="G48" s="218">
        <f t="shared" si="6"/>
        <v>42791</v>
      </c>
    </row>
    <row r="49" spans="1:9" ht="18.75" hidden="1" customHeight="1">
      <c r="A49" s="218">
        <f t="shared" si="7"/>
        <v>42792</v>
      </c>
      <c r="B49" s="219">
        <f t="shared" si="8"/>
        <v>42793</v>
      </c>
      <c r="C49" s="219">
        <f t="shared" si="8"/>
        <v>42794</v>
      </c>
      <c r="D49" s="219">
        <f t="shared" si="8"/>
        <v>42795</v>
      </c>
      <c r="E49" s="219">
        <f t="shared" si="8"/>
        <v>42796</v>
      </c>
      <c r="F49" s="219">
        <f t="shared" si="8"/>
        <v>42797</v>
      </c>
      <c r="G49" s="218">
        <f t="shared" si="6"/>
        <v>42798</v>
      </c>
    </row>
    <row r="50" spans="1:9" ht="18.75" hidden="1" customHeight="1">
      <c r="A50" s="218">
        <f t="shared" si="7"/>
        <v>42799</v>
      </c>
      <c r="B50" s="219">
        <f t="shared" si="8"/>
        <v>42800</v>
      </c>
      <c r="C50" s="219">
        <f t="shared" si="8"/>
        <v>42801</v>
      </c>
      <c r="D50" s="219">
        <f t="shared" si="8"/>
        <v>42802</v>
      </c>
      <c r="E50" s="219">
        <f t="shared" si="8"/>
        <v>42803</v>
      </c>
      <c r="F50" s="219">
        <f t="shared" si="8"/>
        <v>42804</v>
      </c>
      <c r="G50" s="218">
        <f t="shared" si="6"/>
        <v>42805</v>
      </c>
    </row>
    <row r="51" spans="1:9" ht="18.75" hidden="1" customHeight="1">
      <c r="A51" s="218">
        <f t="shared" si="7"/>
        <v>42806</v>
      </c>
      <c r="B51" s="219">
        <f t="shared" si="8"/>
        <v>42807</v>
      </c>
      <c r="C51" s="219">
        <f t="shared" si="8"/>
        <v>42808</v>
      </c>
      <c r="D51" s="219">
        <f t="shared" si="8"/>
        <v>42809</v>
      </c>
      <c r="E51" s="219">
        <f t="shared" si="8"/>
        <v>42810</v>
      </c>
      <c r="F51" s="219">
        <f t="shared" si="8"/>
        <v>42811</v>
      </c>
      <c r="G51" s="218">
        <f t="shared" si="6"/>
        <v>42812</v>
      </c>
    </row>
    <row r="52" spans="1:9" ht="18.75" hidden="1" customHeight="1">
      <c r="A52" s="218">
        <f t="shared" si="7"/>
        <v>42813</v>
      </c>
      <c r="B52" s="219">
        <f t="shared" ref="B52:F61" si="9">A52+1</f>
        <v>42814</v>
      </c>
      <c r="C52" s="219">
        <f t="shared" si="9"/>
        <v>42815</v>
      </c>
      <c r="D52" s="219">
        <f t="shared" si="9"/>
        <v>42816</v>
      </c>
      <c r="E52" s="219">
        <f t="shared" si="9"/>
        <v>42817</v>
      </c>
      <c r="F52" s="219">
        <f t="shared" si="9"/>
        <v>42818</v>
      </c>
      <c r="G52" s="218">
        <f t="shared" si="6"/>
        <v>42819</v>
      </c>
    </row>
    <row r="53" spans="1:9" ht="18.75" hidden="1" customHeight="1">
      <c r="A53" s="218">
        <f t="shared" si="7"/>
        <v>42820</v>
      </c>
      <c r="B53" s="219">
        <f t="shared" si="9"/>
        <v>42821</v>
      </c>
      <c r="C53" s="219">
        <f t="shared" si="9"/>
        <v>42822</v>
      </c>
      <c r="D53" s="219">
        <f t="shared" si="9"/>
        <v>42823</v>
      </c>
      <c r="E53" s="219">
        <f t="shared" si="9"/>
        <v>42824</v>
      </c>
      <c r="F53" s="219">
        <f t="shared" si="9"/>
        <v>42825</v>
      </c>
      <c r="G53" s="218">
        <f t="shared" si="6"/>
        <v>42826</v>
      </c>
      <c r="H53" s="217" t="s">
        <v>135</v>
      </c>
      <c r="I53" s="240">
        <v>2017</v>
      </c>
    </row>
    <row r="54" spans="1:9" ht="18.75" hidden="1" customHeight="1">
      <c r="A54" s="218">
        <f t="shared" si="7"/>
        <v>42827</v>
      </c>
      <c r="B54" s="219">
        <f t="shared" si="9"/>
        <v>42828</v>
      </c>
      <c r="C54" s="219">
        <f t="shared" si="9"/>
        <v>42829</v>
      </c>
      <c r="D54" s="219">
        <f t="shared" si="9"/>
        <v>42830</v>
      </c>
      <c r="E54" s="219">
        <f t="shared" si="9"/>
        <v>42831</v>
      </c>
      <c r="F54" s="219">
        <f t="shared" si="9"/>
        <v>42832</v>
      </c>
      <c r="G54" s="218">
        <f t="shared" si="6"/>
        <v>42833</v>
      </c>
    </row>
    <row r="55" spans="1:9" ht="18.75" hidden="1" customHeight="1">
      <c r="A55" s="218">
        <f t="shared" si="7"/>
        <v>42834</v>
      </c>
      <c r="B55" s="219">
        <f t="shared" si="9"/>
        <v>42835</v>
      </c>
      <c r="C55" s="219">
        <f t="shared" si="9"/>
        <v>42836</v>
      </c>
      <c r="D55" s="219">
        <f t="shared" si="9"/>
        <v>42837</v>
      </c>
      <c r="E55" s="219">
        <f t="shared" si="9"/>
        <v>42838</v>
      </c>
      <c r="F55" s="219">
        <f t="shared" si="9"/>
        <v>42839</v>
      </c>
      <c r="G55" s="218">
        <f t="shared" si="6"/>
        <v>42840</v>
      </c>
    </row>
    <row r="56" spans="1:9" ht="18.75" hidden="1" customHeight="1">
      <c r="A56" s="218">
        <f t="shared" si="7"/>
        <v>42841</v>
      </c>
      <c r="B56" s="219">
        <f t="shared" si="9"/>
        <v>42842</v>
      </c>
      <c r="C56" s="219">
        <f t="shared" si="9"/>
        <v>42843</v>
      </c>
      <c r="D56" s="219">
        <f t="shared" si="9"/>
        <v>42844</v>
      </c>
      <c r="E56" s="219">
        <f t="shared" si="9"/>
        <v>42845</v>
      </c>
      <c r="F56" s="219">
        <f t="shared" si="9"/>
        <v>42846</v>
      </c>
      <c r="G56" s="218">
        <f t="shared" si="6"/>
        <v>42847</v>
      </c>
    </row>
    <row r="57" spans="1:9" ht="18.75" hidden="1" customHeight="1" thickBot="1">
      <c r="A57" s="218">
        <f t="shared" si="7"/>
        <v>42848</v>
      </c>
      <c r="B57" s="221">
        <f t="shared" si="9"/>
        <v>42849</v>
      </c>
      <c r="C57" s="221">
        <f t="shared" si="9"/>
        <v>42850</v>
      </c>
      <c r="D57" s="221">
        <f t="shared" si="9"/>
        <v>42851</v>
      </c>
      <c r="E57" s="221">
        <f t="shared" si="9"/>
        <v>42852</v>
      </c>
      <c r="F57" s="221">
        <f t="shared" si="9"/>
        <v>42853</v>
      </c>
      <c r="G57" s="220">
        <f t="shared" si="6"/>
        <v>42854</v>
      </c>
    </row>
    <row r="58" spans="1:9" ht="18.75" hidden="1" customHeight="1">
      <c r="A58" s="218">
        <f t="shared" si="7"/>
        <v>42855</v>
      </c>
      <c r="B58" s="219">
        <f t="shared" si="9"/>
        <v>42856</v>
      </c>
      <c r="C58" s="219">
        <f t="shared" si="9"/>
        <v>42857</v>
      </c>
      <c r="D58" s="219">
        <f t="shared" si="9"/>
        <v>42858</v>
      </c>
      <c r="E58" s="219">
        <f t="shared" si="9"/>
        <v>42859</v>
      </c>
      <c r="F58" s="219">
        <f t="shared" si="9"/>
        <v>42860</v>
      </c>
      <c r="G58" s="218">
        <f t="shared" si="6"/>
        <v>42861</v>
      </c>
      <c r="H58" s="217" t="s">
        <v>134</v>
      </c>
    </row>
    <row r="59" spans="1:9" ht="18.75" hidden="1" customHeight="1">
      <c r="A59" s="218">
        <f t="shared" si="7"/>
        <v>42862</v>
      </c>
      <c r="B59" s="219">
        <f t="shared" si="9"/>
        <v>42863</v>
      </c>
      <c r="C59" s="219">
        <f t="shared" si="9"/>
        <v>42864</v>
      </c>
      <c r="D59" s="219">
        <f t="shared" si="9"/>
        <v>42865</v>
      </c>
      <c r="E59" s="219">
        <f t="shared" si="9"/>
        <v>42866</v>
      </c>
      <c r="F59" s="219">
        <f t="shared" si="9"/>
        <v>42867</v>
      </c>
      <c r="G59" s="218">
        <f t="shared" si="6"/>
        <v>42868</v>
      </c>
    </row>
    <row r="60" spans="1:9" ht="18.75" hidden="1" customHeight="1">
      <c r="A60" s="218">
        <f t="shared" si="7"/>
        <v>42869</v>
      </c>
      <c r="B60" s="219">
        <f t="shared" si="9"/>
        <v>42870</v>
      </c>
      <c r="C60" s="219">
        <f t="shared" si="9"/>
        <v>42871</v>
      </c>
      <c r="D60" s="219">
        <f t="shared" si="9"/>
        <v>42872</v>
      </c>
      <c r="E60" s="219">
        <f t="shared" si="9"/>
        <v>42873</v>
      </c>
      <c r="F60" s="219">
        <f t="shared" si="9"/>
        <v>42874</v>
      </c>
      <c r="G60" s="218">
        <f t="shared" si="6"/>
        <v>42875</v>
      </c>
    </row>
    <row r="61" spans="1:9" ht="18.75" hidden="1" customHeight="1">
      <c r="A61" s="218">
        <f t="shared" si="7"/>
        <v>42876</v>
      </c>
      <c r="B61" s="219">
        <f t="shared" si="9"/>
        <v>42877</v>
      </c>
      <c r="C61" s="219">
        <f t="shared" si="9"/>
        <v>42878</v>
      </c>
      <c r="D61" s="219">
        <f t="shared" si="9"/>
        <v>42879</v>
      </c>
      <c r="E61" s="219">
        <f t="shared" si="9"/>
        <v>42880</v>
      </c>
      <c r="F61" s="219">
        <f t="shared" si="9"/>
        <v>42881</v>
      </c>
      <c r="G61" s="218">
        <f t="shared" si="6"/>
        <v>42882</v>
      </c>
    </row>
    <row r="62" spans="1:9" ht="18.75" hidden="1" customHeight="1">
      <c r="A62" s="218">
        <f t="shared" si="7"/>
        <v>42883</v>
      </c>
      <c r="B62" s="219">
        <f t="shared" ref="B62:F71" si="10">A62+1</f>
        <v>42884</v>
      </c>
      <c r="C62" s="219">
        <f t="shared" si="10"/>
        <v>42885</v>
      </c>
      <c r="D62" s="219">
        <f t="shared" si="10"/>
        <v>42886</v>
      </c>
      <c r="E62" s="219">
        <f t="shared" si="10"/>
        <v>42887</v>
      </c>
      <c r="F62" s="219">
        <f t="shared" si="10"/>
        <v>42888</v>
      </c>
      <c r="G62" s="218">
        <f t="shared" si="6"/>
        <v>42889</v>
      </c>
    </row>
    <row r="63" spans="1:9" ht="18.75" hidden="1" customHeight="1">
      <c r="A63" s="218">
        <f t="shared" si="7"/>
        <v>42890</v>
      </c>
      <c r="B63" s="219">
        <f t="shared" si="10"/>
        <v>42891</v>
      </c>
      <c r="C63" s="219">
        <f t="shared" si="10"/>
        <v>42892</v>
      </c>
      <c r="D63" s="219">
        <f t="shared" si="10"/>
        <v>42893</v>
      </c>
      <c r="E63" s="219">
        <f t="shared" si="10"/>
        <v>42894</v>
      </c>
      <c r="F63" s="219">
        <f t="shared" si="10"/>
        <v>42895</v>
      </c>
      <c r="G63" s="218">
        <f t="shared" si="6"/>
        <v>42896</v>
      </c>
      <c r="H63" s="217" t="s">
        <v>133</v>
      </c>
    </row>
    <row r="64" spans="1:9" ht="18.75" hidden="1" customHeight="1">
      <c r="A64" s="218">
        <f t="shared" si="7"/>
        <v>42897</v>
      </c>
      <c r="B64" s="219">
        <f t="shared" si="10"/>
        <v>42898</v>
      </c>
      <c r="C64" s="219">
        <f t="shared" si="10"/>
        <v>42899</v>
      </c>
      <c r="D64" s="219">
        <f t="shared" si="10"/>
        <v>42900</v>
      </c>
      <c r="E64" s="219">
        <f t="shared" si="10"/>
        <v>42901</v>
      </c>
      <c r="F64" s="219">
        <f t="shared" si="10"/>
        <v>42902</v>
      </c>
      <c r="G64" s="218">
        <f t="shared" si="6"/>
        <v>42903</v>
      </c>
    </row>
    <row r="65" spans="1:8" ht="18.75" hidden="1" customHeight="1">
      <c r="A65" s="218">
        <f t="shared" si="7"/>
        <v>42904</v>
      </c>
      <c r="B65" s="219">
        <f t="shared" si="10"/>
        <v>42905</v>
      </c>
      <c r="C65" s="219">
        <f t="shared" si="10"/>
        <v>42906</v>
      </c>
      <c r="D65" s="219">
        <f t="shared" si="10"/>
        <v>42907</v>
      </c>
      <c r="E65" s="219">
        <f t="shared" si="10"/>
        <v>42908</v>
      </c>
      <c r="F65" s="219">
        <f t="shared" si="10"/>
        <v>42909</v>
      </c>
      <c r="G65" s="218">
        <f t="shared" ref="G65:G96" si="11">F65+1</f>
        <v>42910</v>
      </c>
    </row>
    <row r="66" spans="1:8" ht="18.75" hidden="1" customHeight="1">
      <c r="A66" s="218">
        <f t="shared" ref="A66:A102" si="12">G65+1</f>
        <v>42911</v>
      </c>
      <c r="B66" s="219">
        <f t="shared" si="10"/>
        <v>42912</v>
      </c>
      <c r="C66" s="219">
        <f t="shared" si="10"/>
        <v>42913</v>
      </c>
      <c r="D66" s="219">
        <f t="shared" si="10"/>
        <v>42914</v>
      </c>
      <c r="E66" s="219">
        <f t="shared" si="10"/>
        <v>42915</v>
      </c>
      <c r="F66" s="219">
        <f t="shared" si="10"/>
        <v>42916</v>
      </c>
      <c r="G66" s="218">
        <f t="shared" si="11"/>
        <v>42917</v>
      </c>
    </row>
    <row r="67" spans="1:8" ht="18.75" hidden="1" customHeight="1">
      <c r="A67" s="218">
        <f t="shared" si="12"/>
        <v>42918</v>
      </c>
      <c r="B67" s="219">
        <f t="shared" si="10"/>
        <v>42919</v>
      </c>
      <c r="C67" s="219">
        <f t="shared" si="10"/>
        <v>42920</v>
      </c>
      <c r="D67" s="219">
        <f t="shared" si="10"/>
        <v>42921</v>
      </c>
      <c r="E67" s="219">
        <f t="shared" si="10"/>
        <v>42922</v>
      </c>
      <c r="F67" s="219">
        <f t="shared" si="10"/>
        <v>42923</v>
      </c>
      <c r="G67" s="218">
        <f t="shared" si="11"/>
        <v>42924</v>
      </c>
      <c r="H67" s="217" t="s">
        <v>132</v>
      </c>
    </row>
    <row r="68" spans="1:8" ht="18.75" hidden="1" customHeight="1">
      <c r="A68" s="218">
        <f t="shared" si="12"/>
        <v>42925</v>
      </c>
      <c r="B68" s="219">
        <f t="shared" si="10"/>
        <v>42926</v>
      </c>
      <c r="C68" s="219">
        <f t="shared" si="10"/>
        <v>42927</v>
      </c>
      <c r="D68" s="219">
        <f t="shared" si="10"/>
        <v>42928</v>
      </c>
      <c r="E68" s="219">
        <f t="shared" si="10"/>
        <v>42929</v>
      </c>
      <c r="F68" s="219">
        <f t="shared" si="10"/>
        <v>42930</v>
      </c>
      <c r="G68" s="218">
        <f t="shared" si="11"/>
        <v>42931</v>
      </c>
    </row>
    <row r="69" spans="1:8" ht="18.75" hidden="1" customHeight="1">
      <c r="A69" s="218">
        <f t="shared" si="12"/>
        <v>42932</v>
      </c>
      <c r="B69" s="219">
        <f t="shared" si="10"/>
        <v>42933</v>
      </c>
      <c r="C69" s="219">
        <f t="shared" si="10"/>
        <v>42934</v>
      </c>
      <c r="D69" s="219">
        <f t="shared" si="10"/>
        <v>42935</v>
      </c>
      <c r="E69" s="219">
        <f t="shared" si="10"/>
        <v>42936</v>
      </c>
      <c r="F69" s="219">
        <f t="shared" si="10"/>
        <v>42937</v>
      </c>
      <c r="G69" s="218">
        <f t="shared" si="11"/>
        <v>42938</v>
      </c>
    </row>
    <row r="70" spans="1:8" ht="18.75" hidden="1" customHeight="1">
      <c r="A70" s="218">
        <f t="shared" si="12"/>
        <v>42939</v>
      </c>
      <c r="B70" s="219">
        <f t="shared" si="10"/>
        <v>42940</v>
      </c>
      <c r="C70" s="219">
        <f t="shared" si="10"/>
        <v>42941</v>
      </c>
      <c r="D70" s="219">
        <f t="shared" si="10"/>
        <v>42942</v>
      </c>
      <c r="E70" s="219">
        <f t="shared" si="10"/>
        <v>42943</v>
      </c>
      <c r="F70" s="219">
        <f t="shared" si="10"/>
        <v>42944</v>
      </c>
      <c r="G70" s="218">
        <f t="shared" si="11"/>
        <v>42945</v>
      </c>
    </row>
    <row r="71" spans="1:8" ht="18.75" hidden="1" customHeight="1">
      <c r="A71" s="218">
        <f t="shared" si="12"/>
        <v>42946</v>
      </c>
      <c r="B71" s="219">
        <f t="shared" si="10"/>
        <v>42947</v>
      </c>
      <c r="C71" s="219">
        <f t="shared" si="10"/>
        <v>42948</v>
      </c>
      <c r="D71" s="219">
        <f t="shared" si="10"/>
        <v>42949</v>
      </c>
      <c r="E71" s="219">
        <f t="shared" si="10"/>
        <v>42950</v>
      </c>
      <c r="F71" s="219">
        <f t="shared" si="10"/>
        <v>42951</v>
      </c>
      <c r="G71" s="218">
        <f t="shared" si="11"/>
        <v>42952</v>
      </c>
    </row>
    <row r="72" spans="1:8" ht="18.75" hidden="1" customHeight="1">
      <c r="A72" s="218">
        <f t="shared" si="12"/>
        <v>42953</v>
      </c>
      <c r="B72" s="219">
        <f t="shared" ref="B72:F81" si="13">A72+1</f>
        <v>42954</v>
      </c>
      <c r="C72" s="219">
        <f t="shared" si="13"/>
        <v>42955</v>
      </c>
      <c r="D72" s="219">
        <f t="shared" si="13"/>
        <v>42956</v>
      </c>
      <c r="E72" s="219">
        <f t="shared" si="13"/>
        <v>42957</v>
      </c>
      <c r="F72" s="219">
        <f t="shared" si="13"/>
        <v>42958</v>
      </c>
      <c r="G72" s="218">
        <f t="shared" si="11"/>
        <v>42959</v>
      </c>
      <c r="H72" s="217" t="s">
        <v>131</v>
      </c>
    </row>
    <row r="73" spans="1:8" ht="18.75" hidden="1" customHeight="1">
      <c r="A73" s="218">
        <f t="shared" si="12"/>
        <v>42960</v>
      </c>
      <c r="B73" s="219">
        <f t="shared" si="13"/>
        <v>42961</v>
      </c>
      <c r="C73" s="219">
        <f t="shared" si="13"/>
        <v>42962</v>
      </c>
      <c r="D73" s="219">
        <f t="shared" si="13"/>
        <v>42963</v>
      </c>
      <c r="E73" s="219">
        <f t="shared" si="13"/>
        <v>42964</v>
      </c>
      <c r="F73" s="219">
        <f t="shared" si="13"/>
        <v>42965</v>
      </c>
      <c r="G73" s="218">
        <f t="shared" si="11"/>
        <v>42966</v>
      </c>
    </row>
    <row r="74" spans="1:8" ht="18.75" hidden="1" customHeight="1">
      <c r="A74" s="218">
        <f t="shared" si="12"/>
        <v>42967</v>
      </c>
      <c r="B74" s="219">
        <f t="shared" si="13"/>
        <v>42968</v>
      </c>
      <c r="C74" s="219">
        <f t="shared" si="13"/>
        <v>42969</v>
      </c>
      <c r="D74" s="219">
        <f t="shared" si="13"/>
        <v>42970</v>
      </c>
      <c r="E74" s="219">
        <f t="shared" si="13"/>
        <v>42971</v>
      </c>
      <c r="F74" s="219">
        <f t="shared" si="13"/>
        <v>42972</v>
      </c>
      <c r="G74" s="218">
        <f t="shared" si="11"/>
        <v>42973</v>
      </c>
    </row>
    <row r="75" spans="1:8" ht="18.75" hidden="1" customHeight="1">
      <c r="A75" s="218">
        <f t="shared" si="12"/>
        <v>42974</v>
      </c>
      <c r="B75" s="219">
        <f t="shared" si="13"/>
        <v>42975</v>
      </c>
      <c r="C75" s="219">
        <f t="shared" si="13"/>
        <v>42976</v>
      </c>
      <c r="D75" s="219">
        <f t="shared" si="13"/>
        <v>42977</v>
      </c>
      <c r="E75" s="219">
        <f t="shared" si="13"/>
        <v>42978</v>
      </c>
      <c r="F75" s="219">
        <f t="shared" si="13"/>
        <v>42979</v>
      </c>
      <c r="G75" s="218">
        <f t="shared" si="11"/>
        <v>42980</v>
      </c>
    </row>
    <row r="76" spans="1:8" ht="18.75" hidden="1" customHeight="1">
      <c r="A76" s="218">
        <f t="shared" si="12"/>
        <v>42981</v>
      </c>
      <c r="B76" s="219">
        <f t="shared" si="13"/>
        <v>42982</v>
      </c>
      <c r="C76" s="219">
        <f t="shared" si="13"/>
        <v>42983</v>
      </c>
      <c r="D76" s="219">
        <f t="shared" si="13"/>
        <v>42984</v>
      </c>
      <c r="E76" s="219">
        <f t="shared" si="13"/>
        <v>42985</v>
      </c>
      <c r="F76" s="219">
        <f t="shared" si="13"/>
        <v>42986</v>
      </c>
      <c r="G76" s="218">
        <f t="shared" si="11"/>
        <v>42987</v>
      </c>
      <c r="H76" s="217" t="s">
        <v>130</v>
      </c>
    </row>
    <row r="77" spans="1:8" ht="18.75" hidden="1" customHeight="1">
      <c r="A77" s="218">
        <f t="shared" si="12"/>
        <v>42988</v>
      </c>
      <c r="B77" s="219">
        <f t="shared" si="13"/>
        <v>42989</v>
      </c>
      <c r="C77" s="219">
        <f t="shared" si="13"/>
        <v>42990</v>
      </c>
      <c r="D77" s="219">
        <f t="shared" si="13"/>
        <v>42991</v>
      </c>
      <c r="E77" s="219">
        <f t="shared" si="13"/>
        <v>42992</v>
      </c>
      <c r="F77" s="219">
        <f t="shared" si="13"/>
        <v>42993</v>
      </c>
      <c r="G77" s="218">
        <f t="shared" si="11"/>
        <v>42994</v>
      </c>
    </row>
    <row r="78" spans="1:8" ht="18.75" hidden="1" customHeight="1">
      <c r="A78" s="218">
        <f t="shared" si="12"/>
        <v>42995</v>
      </c>
      <c r="B78" s="219">
        <f t="shared" si="13"/>
        <v>42996</v>
      </c>
      <c r="C78" s="219">
        <f t="shared" si="13"/>
        <v>42997</v>
      </c>
      <c r="D78" s="219">
        <f t="shared" si="13"/>
        <v>42998</v>
      </c>
      <c r="E78" s="219">
        <f t="shared" si="13"/>
        <v>42999</v>
      </c>
      <c r="F78" s="219">
        <f t="shared" si="13"/>
        <v>43000</v>
      </c>
      <c r="G78" s="218">
        <f t="shared" si="11"/>
        <v>43001</v>
      </c>
    </row>
    <row r="79" spans="1:8" ht="18.75" hidden="1" customHeight="1">
      <c r="A79" s="218">
        <f t="shared" si="12"/>
        <v>43002</v>
      </c>
      <c r="B79" s="219">
        <f t="shared" si="13"/>
        <v>43003</v>
      </c>
      <c r="C79" s="219">
        <f t="shared" si="13"/>
        <v>43004</v>
      </c>
      <c r="D79" s="219">
        <f t="shared" si="13"/>
        <v>43005</v>
      </c>
      <c r="E79" s="219">
        <f t="shared" si="13"/>
        <v>43006</v>
      </c>
      <c r="F79" s="219">
        <f t="shared" si="13"/>
        <v>43007</v>
      </c>
      <c r="G79" s="218">
        <f t="shared" si="11"/>
        <v>43008</v>
      </c>
    </row>
    <row r="80" spans="1:8" ht="18.75" hidden="1" customHeight="1">
      <c r="A80" s="218">
        <f t="shared" si="12"/>
        <v>43009</v>
      </c>
      <c r="B80" s="219">
        <f t="shared" si="13"/>
        <v>43010</v>
      </c>
      <c r="C80" s="219">
        <f t="shared" si="13"/>
        <v>43011</v>
      </c>
      <c r="D80" s="219">
        <f t="shared" si="13"/>
        <v>43012</v>
      </c>
      <c r="E80" s="219">
        <f t="shared" si="13"/>
        <v>43013</v>
      </c>
      <c r="F80" s="219">
        <f t="shared" si="13"/>
        <v>43014</v>
      </c>
      <c r="G80" s="218">
        <f t="shared" si="11"/>
        <v>43015</v>
      </c>
    </row>
    <row r="81" spans="1:9" ht="18.75" hidden="1" customHeight="1">
      <c r="A81" s="218">
        <f t="shared" si="12"/>
        <v>43016</v>
      </c>
      <c r="B81" s="219">
        <f t="shared" si="13"/>
        <v>43017</v>
      </c>
      <c r="C81" s="219">
        <f t="shared" si="13"/>
        <v>43018</v>
      </c>
      <c r="D81" s="219">
        <f t="shared" si="13"/>
        <v>43019</v>
      </c>
      <c r="E81" s="219">
        <f t="shared" si="13"/>
        <v>43020</v>
      </c>
      <c r="F81" s="219">
        <f t="shared" si="13"/>
        <v>43021</v>
      </c>
      <c r="G81" s="218">
        <f t="shared" si="11"/>
        <v>43022</v>
      </c>
      <c r="H81" s="217" t="s">
        <v>129</v>
      </c>
    </row>
    <row r="82" spans="1:9" ht="18.75" hidden="1" customHeight="1">
      <c r="A82" s="218">
        <f t="shared" si="12"/>
        <v>43023</v>
      </c>
      <c r="B82" s="219">
        <f t="shared" ref="B82:F91" si="14">A82+1</f>
        <v>43024</v>
      </c>
      <c r="C82" s="219">
        <f t="shared" si="14"/>
        <v>43025</v>
      </c>
      <c r="D82" s="219">
        <f t="shared" si="14"/>
        <v>43026</v>
      </c>
      <c r="E82" s="219">
        <f t="shared" si="14"/>
        <v>43027</v>
      </c>
      <c r="F82" s="219">
        <f t="shared" si="14"/>
        <v>43028</v>
      </c>
      <c r="G82" s="218">
        <f t="shared" si="11"/>
        <v>43029</v>
      </c>
    </row>
    <row r="83" spans="1:9" ht="18.75" hidden="1" customHeight="1">
      <c r="A83" s="218">
        <f t="shared" si="12"/>
        <v>43030</v>
      </c>
      <c r="B83" s="219">
        <f t="shared" si="14"/>
        <v>43031</v>
      </c>
      <c r="C83" s="219">
        <f t="shared" si="14"/>
        <v>43032</v>
      </c>
      <c r="D83" s="219">
        <f t="shared" si="14"/>
        <v>43033</v>
      </c>
      <c r="E83" s="219">
        <f t="shared" si="14"/>
        <v>43034</v>
      </c>
      <c r="F83" s="219">
        <f t="shared" si="14"/>
        <v>43035</v>
      </c>
      <c r="G83" s="218">
        <f t="shared" si="11"/>
        <v>43036</v>
      </c>
    </row>
    <row r="84" spans="1:9" ht="18.75" hidden="1" customHeight="1">
      <c r="A84" s="218">
        <f t="shared" si="12"/>
        <v>43037</v>
      </c>
      <c r="B84" s="219">
        <f t="shared" si="14"/>
        <v>43038</v>
      </c>
      <c r="C84" s="219">
        <f t="shared" si="14"/>
        <v>43039</v>
      </c>
      <c r="D84" s="219">
        <f t="shared" si="14"/>
        <v>43040</v>
      </c>
      <c r="E84" s="219">
        <f t="shared" si="14"/>
        <v>43041</v>
      </c>
      <c r="F84" s="219">
        <f t="shared" si="14"/>
        <v>43042</v>
      </c>
      <c r="G84" s="218">
        <f t="shared" si="11"/>
        <v>43043</v>
      </c>
    </row>
    <row r="85" spans="1:9" ht="18.75" hidden="1" customHeight="1">
      <c r="A85" s="218">
        <f t="shared" si="12"/>
        <v>43044</v>
      </c>
      <c r="B85" s="219">
        <f t="shared" si="14"/>
        <v>43045</v>
      </c>
      <c r="C85" s="219">
        <f t="shared" si="14"/>
        <v>43046</v>
      </c>
      <c r="D85" s="219">
        <f t="shared" si="14"/>
        <v>43047</v>
      </c>
      <c r="E85" s="219">
        <f t="shared" si="14"/>
        <v>43048</v>
      </c>
      <c r="F85" s="219">
        <f t="shared" si="14"/>
        <v>43049</v>
      </c>
      <c r="G85" s="218">
        <f t="shared" si="11"/>
        <v>43050</v>
      </c>
      <c r="H85" s="217" t="s">
        <v>128</v>
      </c>
    </row>
    <row r="86" spans="1:9" ht="18.75" hidden="1" customHeight="1">
      <c r="A86" s="218">
        <f t="shared" si="12"/>
        <v>43051</v>
      </c>
      <c r="B86" s="219">
        <f t="shared" si="14"/>
        <v>43052</v>
      </c>
      <c r="C86" s="219">
        <f t="shared" si="14"/>
        <v>43053</v>
      </c>
      <c r="D86" s="219">
        <f t="shared" si="14"/>
        <v>43054</v>
      </c>
      <c r="E86" s="219">
        <f t="shared" si="14"/>
        <v>43055</v>
      </c>
      <c r="F86" s="219">
        <f t="shared" si="14"/>
        <v>43056</v>
      </c>
      <c r="G86" s="218">
        <f t="shared" si="11"/>
        <v>43057</v>
      </c>
    </row>
    <row r="87" spans="1:9" ht="18.75" hidden="1" customHeight="1">
      <c r="A87" s="218">
        <f t="shared" si="12"/>
        <v>43058</v>
      </c>
      <c r="B87" s="219">
        <f t="shared" si="14"/>
        <v>43059</v>
      </c>
      <c r="C87" s="219">
        <f t="shared" si="14"/>
        <v>43060</v>
      </c>
      <c r="D87" s="219">
        <f t="shared" si="14"/>
        <v>43061</v>
      </c>
      <c r="E87" s="219">
        <f t="shared" si="14"/>
        <v>43062</v>
      </c>
      <c r="F87" s="219">
        <f t="shared" si="14"/>
        <v>43063</v>
      </c>
      <c r="G87" s="218">
        <f t="shared" si="11"/>
        <v>43064</v>
      </c>
    </row>
    <row r="88" spans="1:9" ht="18.75" hidden="1" customHeight="1">
      <c r="A88" s="218">
        <f t="shared" si="12"/>
        <v>43065</v>
      </c>
      <c r="B88" s="219">
        <f t="shared" si="14"/>
        <v>43066</v>
      </c>
      <c r="C88" s="219">
        <f t="shared" si="14"/>
        <v>43067</v>
      </c>
      <c r="D88" s="219">
        <f t="shared" si="14"/>
        <v>43068</v>
      </c>
      <c r="E88" s="219">
        <f t="shared" si="14"/>
        <v>43069</v>
      </c>
      <c r="F88" s="219">
        <f t="shared" si="14"/>
        <v>43070</v>
      </c>
      <c r="G88" s="218">
        <f t="shared" si="11"/>
        <v>43071</v>
      </c>
    </row>
    <row r="89" spans="1:9" ht="18.75" hidden="1" customHeight="1">
      <c r="A89" s="218">
        <f t="shared" si="12"/>
        <v>43072</v>
      </c>
      <c r="B89" s="219">
        <f t="shared" si="14"/>
        <v>43073</v>
      </c>
      <c r="C89" s="219">
        <f t="shared" si="14"/>
        <v>43074</v>
      </c>
      <c r="D89" s="219">
        <f t="shared" si="14"/>
        <v>43075</v>
      </c>
      <c r="E89" s="219">
        <f t="shared" si="14"/>
        <v>43076</v>
      </c>
      <c r="F89" s="219">
        <f t="shared" si="14"/>
        <v>43077</v>
      </c>
      <c r="G89" s="218">
        <f t="shared" si="11"/>
        <v>43078</v>
      </c>
      <c r="H89" s="217" t="s">
        <v>152</v>
      </c>
    </row>
    <row r="90" spans="1:9" ht="18.75" hidden="1" customHeight="1">
      <c r="A90" s="218">
        <f t="shared" si="12"/>
        <v>43079</v>
      </c>
      <c r="B90" s="219">
        <f t="shared" si="14"/>
        <v>43080</v>
      </c>
      <c r="C90" s="219">
        <f t="shared" si="14"/>
        <v>43081</v>
      </c>
      <c r="D90" s="219">
        <f t="shared" si="14"/>
        <v>43082</v>
      </c>
      <c r="E90" s="219">
        <f t="shared" si="14"/>
        <v>43083</v>
      </c>
      <c r="F90" s="219">
        <f t="shared" si="14"/>
        <v>43084</v>
      </c>
      <c r="G90" s="218">
        <f t="shared" si="11"/>
        <v>43085</v>
      </c>
    </row>
    <row r="91" spans="1:9" ht="18.75" hidden="1" customHeight="1">
      <c r="A91" s="218">
        <f t="shared" si="12"/>
        <v>43086</v>
      </c>
      <c r="B91" s="219">
        <f t="shared" si="14"/>
        <v>43087</v>
      </c>
      <c r="C91" s="219">
        <f t="shared" si="14"/>
        <v>43088</v>
      </c>
      <c r="D91" s="219">
        <f t="shared" si="14"/>
        <v>43089</v>
      </c>
      <c r="E91" s="219">
        <f t="shared" si="14"/>
        <v>43090</v>
      </c>
      <c r="F91" s="219">
        <f t="shared" si="14"/>
        <v>43091</v>
      </c>
      <c r="G91" s="218">
        <f t="shared" si="11"/>
        <v>43092</v>
      </c>
    </row>
    <row r="92" spans="1:9" ht="18.75" hidden="1" customHeight="1">
      <c r="A92" s="218">
        <f t="shared" si="12"/>
        <v>43093</v>
      </c>
      <c r="B92" s="219">
        <f t="shared" ref="B92:F101" si="15">A92+1</f>
        <v>43094</v>
      </c>
      <c r="C92" s="219">
        <f t="shared" si="15"/>
        <v>43095</v>
      </c>
      <c r="D92" s="219">
        <f t="shared" si="15"/>
        <v>43096</v>
      </c>
      <c r="E92" s="219">
        <f t="shared" si="15"/>
        <v>43097</v>
      </c>
      <c r="F92" s="219">
        <f t="shared" si="15"/>
        <v>43098</v>
      </c>
      <c r="G92" s="218">
        <f t="shared" si="11"/>
        <v>43099</v>
      </c>
    </row>
    <row r="93" spans="1:9" ht="18.75" customHeight="1">
      <c r="A93" s="218">
        <f t="shared" si="12"/>
        <v>43100</v>
      </c>
      <c r="B93" s="241">
        <f t="shared" si="15"/>
        <v>43101</v>
      </c>
      <c r="C93" s="241">
        <f t="shared" si="15"/>
        <v>43102</v>
      </c>
      <c r="D93" s="241">
        <f t="shared" si="15"/>
        <v>43103</v>
      </c>
      <c r="E93" s="241">
        <f t="shared" si="15"/>
        <v>43104</v>
      </c>
      <c r="F93" s="241">
        <f t="shared" si="15"/>
        <v>43105</v>
      </c>
      <c r="G93" s="242">
        <f t="shared" si="11"/>
        <v>43106</v>
      </c>
      <c r="H93" s="217" t="s">
        <v>153</v>
      </c>
      <c r="I93" s="248">
        <v>2018</v>
      </c>
    </row>
    <row r="94" spans="1:9" ht="18.75" customHeight="1">
      <c r="A94" s="218">
        <f t="shared" si="12"/>
        <v>43107</v>
      </c>
      <c r="B94" s="219">
        <f t="shared" si="15"/>
        <v>43108</v>
      </c>
      <c r="C94" s="219">
        <f t="shared" si="15"/>
        <v>43109</v>
      </c>
      <c r="D94" s="219">
        <f t="shared" si="15"/>
        <v>43110</v>
      </c>
      <c r="E94" s="219">
        <f t="shared" si="15"/>
        <v>43111</v>
      </c>
      <c r="F94" s="219">
        <f t="shared" si="15"/>
        <v>43112</v>
      </c>
      <c r="G94" s="218">
        <f t="shared" si="11"/>
        <v>43113</v>
      </c>
    </row>
    <row r="95" spans="1:9" ht="18.75" customHeight="1">
      <c r="A95" s="218">
        <f t="shared" si="12"/>
        <v>43114</v>
      </c>
      <c r="B95" s="219">
        <f t="shared" si="15"/>
        <v>43115</v>
      </c>
      <c r="C95" s="219">
        <f t="shared" si="15"/>
        <v>43116</v>
      </c>
      <c r="D95" s="219">
        <f t="shared" si="15"/>
        <v>43117</v>
      </c>
      <c r="E95" s="219">
        <f t="shared" si="15"/>
        <v>43118</v>
      </c>
      <c r="F95" s="219">
        <f t="shared" si="15"/>
        <v>43119</v>
      </c>
      <c r="G95" s="218">
        <f t="shared" si="11"/>
        <v>43120</v>
      </c>
    </row>
    <row r="96" spans="1:9" ht="18.75" customHeight="1">
      <c r="A96" s="218">
        <f t="shared" si="12"/>
        <v>43121</v>
      </c>
      <c r="B96" s="219">
        <f t="shared" si="15"/>
        <v>43122</v>
      </c>
      <c r="C96" s="219">
        <f t="shared" si="15"/>
        <v>43123</v>
      </c>
      <c r="D96" s="219">
        <f t="shared" si="15"/>
        <v>43124</v>
      </c>
      <c r="E96" s="219">
        <f t="shared" si="15"/>
        <v>43125</v>
      </c>
      <c r="F96" s="219">
        <f t="shared" si="15"/>
        <v>43126</v>
      </c>
      <c r="G96" s="218">
        <f t="shared" si="11"/>
        <v>43127</v>
      </c>
    </row>
    <row r="97" spans="1:20" ht="18.75" customHeight="1">
      <c r="A97" s="218">
        <f t="shared" si="12"/>
        <v>43128</v>
      </c>
      <c r="B97" s="219">
        <f t="shared" si="15"/>
        <v>43129</v>
      </c>
      <c r="C97" s="219">
        <f t="shared" si="15"/>
        <v>43130</v>
      </c>
      <c r="D97" s="219">
        <f t="shared" si="15"/>
        <v>43131</v>
      </c>
      <c r="E97" s="241">
        <f t="shared" si="15"/>
        <v>43132</v>
      </c>
      <c r="F97" s="241">
        <f t="shared" si="15"/>
        <v>43133</v>
      </c>
      <c r="G97" s="242">
        <f t="shared" ref="G97:G155" si="16">F97+1</f>
        <v>43134</v>
      </c>
    </row>
    <row r="98" spans="1:20" ht="18.75" customHeight="1">
      <c r="A98" s="218">
        <f t="shared" si="12"/>
        <v>43135</v>
      </c>
      <c r="B98" s="241">
        <f t="shared" si="15"/>
        <v>43136</v>
      </c>
      <c r="C98" s="241">
        <f t="shared" si="15"/>
        <v>43137</v>
      </c>
      <c r="D98" s="241">
        <f t="shared" si="15"/>
        <v>43138</v>
      </c>
      <c r="E98" s="219">
        <f t="shared" si="15"/>
        <v>43139</v>
      </c>
      <c r="F98" s="219">
        <f t="shared" si="15"/>
        <v>43140</v>
      </c>
      <c r="G98" s="218">
        <f t="shared" si="16"/>
        <v>43141</v>
      </c>
      <c r="H98" s="217" t="s">
        <v>154</v>
      </c>
    </row>
    <row r="99" spans="1:20" ht="18.75" customHeight="1">
      <c r="A99" s="218">
        <f t="shared" si="12"/>
        <v>43142</v>
      </c>
      <c r="B99" s="219">
        <f t="shared" si="15"/>
        <v>43143</v>
      </c>
      <c r="C99" s="219">
        <f t="shared" si="15"/>
        <v>43144</v>
      </c>
      <c r="D99" s="219">
        <f t="shared" si="15"/>
        <v>43145</v>
      </c>
      <c r="E99" s="219">
        <f t="shared" si="15"/>
        <v>43146</v>
      </c>
      <c r="F99" s="219">
        <f t="shared" si="15"/>
        <v>43147</v>
      </c>
      <c r="G99" s="218">
        <f t="shared" si="16"/>
        <v>43148</v>
      </c>
    </row>
    <row r="100" spans="1:20" ht="18.75" customHeight="1">
      <c r="A100" s="218">
        <f t="shared" si="12"/>
        <v>43149</v>
      </c>
      <c r="B100" s="219">
        <f t="shared" si="15"/>
        <v>43150</v>
      </c>
      <c r="C100" s="219">
        <f t="shared" si="15"/>
        <v>43151</v>
      </c>
      <c r="D100" s="219">
        <f t="shared" si="15"/>
        <v>43152</v>
      </c>
      <c r="E100" s="219">
        <f t="shared" si="15"/>
        <v>43153</v>
      </c>
      <c r="F100" s="219">
        <f t="shared" si="15"/>
        <v>43154</v>
      </c>
      <c r="G100" s="218">
        <f t="shared" si="16"/>
        <v>43155</v>
      </c>
    </row>
    <row r="101" spans="1:20" ht="18.75" customHeight="1">
      <c r="A101" s="218">
        <f t="shared" si="12"/>
        <v>43156</v>
      </c>
      <c r="B101" s="219">
        <f t="shared" si="15"/>
        <v>43157</v>
      </c>
      <c r="C101" s="219">
        <f t="shared" si="15"/>
        <v>43158</v>
      </c>
      <c r="D101" s="219">
        <f t="shared" si="15"/>
        <v>43159</v>
      </c>
      <c r="E101" s="243">
        <f t="shared" si="15"/>
        <v>43160</v>
      </c>
      <c r="F101" s="241">
        <f t="shared" si="15"/>
        <v>43161</v>
      </c>
      <c r="G101" s="242">
        <f t="shared" si="16"/>
        <v>43162</v>
      </c>
    </row>
    <row r="102" spans="1:20" ht="18.75" customHeight="1">
      <c r="A102" s="218">
        <f t="shared" si="12"/>
        <v>43163</v>
      </c>
      <c r="B102" s="241">
        <f t="shared" ref="B102:F111" si="17">A102+1</f>
        <v>43164</v>
      </c>
      <c r="C102" s="241">
        <f t="shared" si="17"/>
        <v>43165</v>
      </c>
      <c r="D102" s="241">
        <f t="shared" si="17"/>
        <v>43166</v>
      </c>
      <c r="E102" s="219">
        <f t="shared" si="17"/>
        <v>43167</v>
      </c>
      <c r="F102" s="219">
        <f t="shared" si="17"/>
        <v>43168</v>
      </c>
      <c r="G102" s="218">
        <f t="shared" si="16"/>
        <v>43169</v>
      </c>
      <c r="H102" s="217" t="s">
        <v>155</v>
      </c>
    </row>
    <row r="103" spans="1:20" ht="18.75" customHeight="1">
      <c r="A103" s="218">
        <f t="shared" ref="A103:A129" si="18">G102+1</f>
        <v>43170</v>
      </c>
      <c r="B103" s="219">
        <f t="shared" si="17"/>
        <v>43171</v>
      </c>
      <c r="C103" s="219">
        <f t="shared" si="17"/>
        <v>43172</v>
      </c>
      <c r="D103" s="219">
        <f t="shared" si="17"/>
        <v>43173</v>
      </c>
      <c r="E103" s="219">
        <f t="shared" si="17"/>
        <v>43174</v>
      </c>
      <c r="F103" s="219">
        <f t="shared" si="17"/>
        <v>43175</v>
      </c>
      <c r="G103" s="218">
        <f t="shared" si="16"/>
        <v>43176</v>
      </c>
    </row>
    <row r="104" spans="1:20" ht="18.75" customHeight="1">
      <c r="A104" s="218">
        <f t="shared" si="18"/>
        <v>43177</v>
      </c>
      <c r="B104" s="219">
        <f t="shared" si="17"/>
        <v>43178</v>
      </c>
      <c r="C104" s="219">
        <f t="shared" si="17"/>
        <v>43179</v>
      </c>
      <c r="D104" s="219">
        <f t="shared" si="17"/>
        <v>43180</v>
      </c>
      <c r="E104" s="219">
        <f t="shared" si="17"/>
        <v>43181</v>
      </c>
      <c r="F104" s="219">
        <f t="shared" si="17"/>
        <v>43182</v>
      </c>
      <c r="G104" s="218">
        <f t="shared" si="16"/>
        <v>43183</v>
      </c>
    </row>
    <row r="105" spans="1:20" ht="18.75" customHeight="1">
      <c r="A105" s="218">
        <f t="shared" si="18"/>
        <v>43184</v>
      </c>
      <c r="B105" s="219">
        <f t="shared" si="17"/>
        <v>43185</v>
      </c>
      <c r="C105" s="219">
        <f t="shared" si="17"/>
        <v>43186</v>
      </c>
      <c r="D105" s="219">
        <f t="shared" si="17"/>
        <v>43187</v>
      </c>
      <c r="E105" s="219">
        <f t="shared" si="17"/>
        <v>43188</v>
      </c>
      <c r="F105" s="219">
        <f t="shared" si="17"/>
        <v>43189</v>
      </c>
      <c r="G105" s="218">
        <f t="shared" si="16"/>
        <v>43190</v>
      </c>
    </row>
    <row r="106" spans="1:20" ht="18.75" customHeight="1" thickBot="1">
      <c r="A106" s="244">
        <f t="shared" si="18"/>
        <v>43191</v>
      </c>
      <c r="B106" s="241">
        <f t="shared" si="17"/>
        <v>43192</v>
      </c>
      <c r="C106" s="241">
        <f t="shared" si="17"/>
        <v>43193</v>
      </c>
      <c r="D106" s="241">
        <f t="shared" si="17"/>
        <v>43194</v>
      </c>
      <c r="E106" s="241">
        <f t="shared" si="17"/>
        <v>43195</v>
      </c>
      <c r="F106" s="241">
        <f t="shared" si="17"/>
        <v>43196</v>
      </c>
      <c r="G106" s="242">
        <f t="shared" si="16"/>
        <v>43197</v>
      </c>
    </row>
    <row r="107" spans="1:20" ht="18.75" customHeight="1" thickBot="1">
      <c r="A107" s="218">
        <f t="shared" si="18"/>
        <v>43198</v>
      </c>
      <c r="B107" s="219">
        <f t="shared" si="17"/>
        <v>43199</v>
      </c>
      <c r="C107" s="219">
        <f t="shared" si="17"/>
        <v>43200</v>
      </c>
      <c r="D107" s="219">
        <f t="shared" si="17"/>
        <v>43201</v>
      </c>
      <c r="E107" s="219">
        <f t="shared" si="17"/>
        <v>43202</v>
      </c>
      <c r="F107" s="219">
        <f t="shared" si="17"/>
        <v>43203</v>
      </c>
      <c r="G107" s="218">
        <f t="shared" si="16"/>
        <v>43204</v>
      </c>
      <c r="H107" s="246" t="s">
        <v>19</v>
      </c>
      <c r="I107" s="239" t="s">
        <v>163</v>
      </c>
      <c r="J107" s="239" t="s">
        <v>31</v>
      </c>
      <c r="K107" s="239" t="s">
        <v>55</v>
      </c>
      <c r="L107" s="239" t="s">
        <v>38</v>
      </c>
      <c r="M107" s="239" t="s">
        <v>157</v>
      </c>
      <c r="N107" s="239" t="s">
        <v>158</v>
      </c>
      <c r="O107" s="238" t="s">
        <v>156</v>
      </c>
    </row>
    <row r="108" spans="1:20" ht="18.75" customHeight="1">
      <c r="A108" s="218">
        <f t="shared" si="18"/>
        <v>43205</v>
      </c>
      <c r="B108" s="219">
        <f t="shared" si="17"/>
        <v>43206</v>
      </c>
      <c r="C108" s="219">
        <f t="shared" si="17"/>
        <v>43207</v>
      </c>
      <c r="D108" s="219">
        <f t="shared" si="17"/>
        <v>43208</v>
      </c>
      <c r="E108" s="219">
        <f t="shared" si="17"/>
        <v>43209</v>
      </c>
      <c r="F108" s="219">
        <f t="shared" si="17"/>
        <v>43210</v>
      </c>
      <c r="G108" s="218">
        <f t="shared" si="16"/>
        <v>43211</v>
      </c>
      <c r="H108" s="224"/>
      <c r="I108" s="223"/>
      <c r="J108" s="223"/>
      <c r="K108" s="223"/>
      <c r="L108" s="223"/>
      <c r="M108" s="223"/>
      <c r="N108" s="223"/>
      <c r="O108" s="223"/>
    </row>
    <row r="109" spans="1:20" ht="18.75" customHeight="1">
      <c r="A109" s="218">
        <f t="shared" si="18"/>
        <v>43212</v>
      </c>
      <c r="B109" s="219">
        <f t="shared" si="17"/>
        <v>43213</v>
      </c>
      <c r="C109" s="219">
        <f t="shared" si="17"/>
        <v>43214</v>
      </c>
      <c r="D109" s="219">
        <f t="shared" si="17"/>
        <v>43215</v>
      </c>
      <c r="E109" s="219">
        <f t="shared" si="17"/>
        <v>43216</v>
      </c>
      <c r="F109" s="219">
        <f t="shared" si="17"/>
        <v>43217</v>
      </c>
      <c r="G109" s="218">
        <f t="shared" si="16"/>
        <v>43218</v>
      </c>
      <c r="H109" s="224"/>
      <c r="I109" s="223"/>
      <c r="J109" s="223"/>
      <c r="K109" s="223"/>
      <c r="L109" s="223"/>
      <c r="M109" s="223"/>
      <c r="N109" s="223"/>
      <c r="O109" s="223"/>
      <c r="P109" s="222" t="s">
        <v>38</v>
      </c>
      <c r="Q109" s="229" t="s">
        <v>167</v>
      </c>
      <c r="R109" s="229"/>
      <c r="S109" s="229" t="s">
        <v>149</v>
      </c>
      <c r="T109" s="229"/>
    </row>
    <row r="110" spans="1:20" ht="18.75" customHeight="1">
      <c r="A110" s="218">
        <f t="shared" si="18"/>
        <v>43219</v>
      </c>
      <c r="B110" s="219">
        <f t="shared" si="17"/>
        <v>43220</v>
      </c>
      <c r="C110" s="241">
        <f t="shared" si="17"/>
        <v>43221</v>
      </c>
      <c r="D110" s="241">
        <f t="shared" si="17"/>
        <v>43222</v>
      </c>
      <c r="E110" s="241">
        <f t="shared" si="17"/>
        <v>43223</v>
      </c>
      <c r="F110" s="241">
        <f t="shared" si="17"/>
        <v>43224</v>
      </c>
      <c r="G110" s="242">
        <f t="shared" si="16"/>
        <v>43225</v>
      </c>
      <c r="H110" s="224"/>
      <c r="I110" s="223"/>
      <c r="J110" s="223"/>
      <c r="K110" s="223"/>
      <c r="L110" s="223"/>
      <c r="M110" s="223"/>
      <c r="N110" s="223"/>
      <c r="O110" s="223"/>
      <c r="P110" s="222" t="s">
        <v>31</v>
      </c>
      <c r="Q110" s="229" t="s">
        <v>166</v>
      </c>
      <c r="R110" s="229"/>
      <c r="S110" s="229" t="s">
        <v>147</v>
      </c>
      <c r="T110" s="229"/>
    </row>
    <row r="111" spans="1:20" ht="18.75" customHeight="1">
      <c r="A111" s="242">
        <f t="shared" si="18"/>
        <v>43226</v>
      </c>
      <c r="B111" s="241">
        <f t="shared" si="17"/>
        <v>43227</v>
      </c>
      <c r="C111" s="219">
        <f t="shared" si="17"/>
        <v>43228</v>
      </c>
      <c r="D111" s="219">
        <f t="shared" si="17"/>
        <v>43229</v>
      </c>
      <c r="E111" s="219">
        <f t="shared" si="17"/>
        <v>43230</v>
      </c>
      <c r="F111" s="219">
        <f t="shared" si="17"/>
        <v>43231</v>
      </c>
      <c r="G111" s="218">
        <f t="shared" si="16"/>
        <v>43232</v>
      </c>
      <c r="H111" s="224"/>
      <c r="I111" s="223"/>
      <c r="J111" s="223"/>
      <c r="K111" s="223"/>
      <c r="L111" s="223"/>
      <c r="M111" s="223"/>
      <c r="N111" s="223"/>
      <c r="O111" s="223"/>
      <c r="P111" s="222" t="s">
        <v>163</v>
      </c>
      <c r="Q111" s="229" t="s">
        <v>145</v>
      </c>
      <c r="R111" s="229"/>
      <c r="S111" s="229" t="s">
        <v>144</v>
      </c>
      <c r="T111" s="229" t="s">
        <v>164</v>
      </c>
    </row>
    <row r="112" spans="1:20" ht="18.75" customHeight="1">
      <c r="A112" s="227">
        <f t="shared" si="18"/>
        <v>43233</v>
      </c>
      <c r="B112" s="219">
        <f t="shared" ref="B112:F121" si="19">A112+1</f>
        <v>43234</v>
      </c>
      <c r="C112" s="219">
        <f t="shared" si="19"/>
        <v>43235</v>
      </c>
      <c r="D112" s="219">
        <f t="shared" si="19"/>
        <v>43236</v>
      </c>
      <c r="E112" s="219">
        <f t="shared" si="19"/>
        <v>43237</v>
      </c>
      <c r="F112" s="219">
        <f t="shared" si="19"/>
        <v>43238</v>
      </c>
      <c r="G112" s="218">
        <f t="shared" si="16"/>
        <v>43239</v>
      </c>
      <c r="H112" s="224"/>
      <c r="I112" s="223"/>
      <c r="J112" s="223"/>
      <c r="K112" s="223"/>
      <c r="L112" s="223"/>
      <c r="M112" s="223"/>
      <c r="N112" s="223"/>
      <c r="O112" s="223"/>
      <c r="P112" s="222" t="s">
        <v>157</v>
      </c>
      <c r="Q112" s="229"/>
      <c r="R112" s="229"/>
      <c r="S112" s="229"/>
      <c r="T112" s="229"/>
    </row>
    <row r="113" spans="1:20" ht="18.75" customHeight="1">
      <c r="A113" s="218">
        <f t="shared" si="18"/>
        <v>43240</v>
      </c>
      <c r="B113" s="219">
        <f t="shared" si="19"/>
        <v>43241</v>
      </c>
      <c r="C113" s="219">
        <f t="shared" si="19"/>
        <v>43242</v>
      </c>
      <c r="D113" s="219">
        <f t="shared" si="19"/>
        <v>43243</v>
      </c>
      <c r="E113" s="219">
        <f t="shared" si="19"/>
        <v>43244</v>
      </c>
      <c r="F113" s="219">
        <f t="shared" si="19"/>
        <v>43245</v>
      </c>
      <c r="G113" s="218">
        <f t="shared" si="16"/>
        <v>43246</v>
      </c>
      <c r="H113" s="224"/>
      <c r="I113" s="223"/>
      <c r="J113" s="223"/>
      <c r="K113" s="223"/>
      <c r="L113" s="223"/>
      <c r="M113" s="223"/>
      <c r="N113" s="223"/>
      <c r="O113" s="223"/>
      <c r="P113" s="222" t="s">
        <v>158</v>
      </c>
      <c r="Q113" s="229"/>
      <c r="R113" s="229"/>
      <c r="S113" s="229"/>
      <c r="T113" s="229"/>
    </row>
    <row r="114" spans="1:20" ht="18.75" customHeight="1">
      <c r="A114" s="218">
        <f t="shared" si="18"/>
        <v>43247</v>
      </c>
      <c r="B114" s="219">
        <f t="shared" si="19"/>
        <v>43248</v>
      </c>
      <c r="C114" s="219">
        <f t="shared" si="19"/>
        <v>43249</v>
      </c>
      <c r="D114" s="219">
        <f t="shared" si="19"/>
        <v>43250</v>
      </c>
      <c r="E114" s="219">
        <f t="shared" si="19"/>
        <v>43251</v>
      </c>
      <c r="F114" s="241">
        <f t="shared" si="19"/>
        <v>43252</v>
      </c>
      <c r="G114" s="242">
        <f t="shared" si="16"/>
        <v>43253</v>
      </c>
      <c r="H114" s="224"/>
      <c r="I114" s="223"/>
      <c r="J114" s="223"/>
      <c r="K114" s="223"/>
      <c r="L114" s="223"/>
      <c r="M114" s="223"/>
      <c r="N114" s="223"/>
      <c r="O114" s="223"/>
      <c r="P114" s="222" t="s">
        <v>156</v>
      </c>
      <c r="Q114" s="229" t="s">
        <v>168</v>
      </c>
      <c r="R114" s="229"/>
      <c r="S114" s="229" t="s">
        <v>169</v>
      </c>
      <c r="T114" s="229"/>
    </row>
    <row r="115" spans="1:20" ht="18.75" customHeight="1">
      <c r="A115" s="242">
        <f t="shared" si="18"/>
        <v>43254</v>
      </c>
      <c r="B115" s="241">
        <f t="shared" si="19"/>
        <v>43255</v>
      </c>
      <c r="C115" s="241">
        <f t="shared" si="19"/>
        <v>43256</v>
      </c>
      <c r="D115" s="241">
        <f t="shared" si="19"/>
        <v>43257</v>
      </c>
      <c r="E115" s="241">
        <f t="shared" si="19"/>
        <v>43258</v>
      </c>
      <c r="F115" s="219">
        <f t="shared" si="19"/>
        <v>43259</v>
      </c>
      <c r="G115" s="218">
        <f t="shared" si="16"/>
        <v>43260</v>
      </c>
      <c r="H115" s="224"/>
      <c r="I115" s="223"/>
      <c r="J115" s="223"/>
      <c r="K115" s="223"/>
      <c r="L115" s="223"/>
      <c r="M115" s="223"/>
      <c r="N115" s="223"/>
      <c r="O115" s="223"/>
      <c r="P115" s="222" t="s">
        <v>55</v>
      </c>
      <c r="Q115" s="229" t="s">
        <v>143</v>
      </c>
      <c r="R115" s="229"/>
      <c r="S115" s="229" t="s">
        <v>142</v>
      </c>
      <c r="T115" s="229"/>
    </row>
    <row r="116" spans="1:20" ht="18.75" customHeight="1">
      <c r="A116" s="218">
        <f t="shared" si="18"/>
        <v>43261</v>
      </c>
      <c r="B116" s="219">
        <f t="shared" si="19"/>
        <v>43262</v>
      </c>
      <c r="C116" s="219">
        <f t="shared" si="19"/>
        <v>43263</v>
      </c>
      <c r="D116" s="219">
        <f t="shared" si="19"/>
        <v>43264</v>
      </c>
      <c r="E116" s="219">
        <f t="shared" si="19"/>
        <v>43265</v>
      </c>
      <c r="F116" s="219">
        <f t="shared" si="19"/>
        <v>43266</v>
      </c>
      <c r="G116" s="218">
        <f t="shared" si="16"/>
        <v>43267</v>
      </c>
      <c r="H116" s="224"/>
      <c r="I116" s="223"/>
      <c r="J116" s="223"/>
      <c r="K116" s="223"/>
      <c r="L116" s="223"/>
      <c r="M116" s="223"/>
      <c r="N116" s="223"/>
      <c r="O116" s="223"/>
      <c r="P116" s="222" t="s">
        <v>19</v>
      </c>
      <c r="Q116" s="284" t="s">
        <v>159</v>
      </c>
      <c r="R116" s="284"/>
      <c r="S116" s="233" t="s">
        <v>140</v>
      </c>
      <c r="T116" s="229"/>
    </row>
    <row r="117" spans="1:20" ht="18.75" customHeight="1">
      <c r="A117" s="218">
        <f t="shared" si="18"/>
        <v>43268</v>
      </c>
      <c r="B117" s="219">
        <f t="shared" si="19"/>
        <v>43269</v>
      </c>
      <c r="C117" s="219">
        <f t="shared" si="19"/>
        <v>43270</v>
      </c>
      <c r="D117" s="219">
        <f t="shared" si="19"/>
        <v>43271</v>
      </c>
      <c r="E117" s="219">
        <f t="shared" si="19"/>
        <v>43272</v>
      </c>
      <c r="F117" s="219">
        <f t="shared" si="19"/>
        <v>43273</v>
      </c>
      <c r="G117" s="218">
        <f t="shared" si="16"/>
        <v>43274</v>
      </c>
      <c r="H117" s="224"/>
      <c r="I117" s="223"/>
      <c r="J117" s="223"/>
      <c r="K117" s="223"/>
      <c r="L117" s="223"/>
      <c r="M117" s="223"/>
      <c r="N117" s="223"/>
      <c r="O117" s="223"/>
      <c r="P117" s="222"/>
      <c r="Q117" s="284"/>
      <c r="R117" s="284"/>
      <c r="S117" s="229"/>
      <c r="T117" s="229"/>
    </row>
    <row r="118" spans="1:20" ht="18.75" customHeight="1">
      <c r="A118" s="218">
        <f t="shared" si="18"/>
        <v>43275</v>
      </c>
      <c r="B118" s="219">
        <f t="shared" si="19"/>
        <v>43276</v>
      </c>
      <c r="C118" s="219">
        <f t="shared" si="19"/>
        <v>43277</v>
      </c>
      <c r="D118" s="219">
        <f t="shared" si="19"/>
        <v>43278</v>
      </c>
      <c r="E118" s="219">
        <f t="shared" si="19"/>
        <v>43279</v>
      </c>
      <c r="F118" s="219">
        <f t="shared" si="19"/>
        <v>43280</v>
      </c>
      <c r="G118" s="218">
        <f t="shared" si="16"/>
        <v>43281</v>
      </c>
      <c r="H118" s="224"/>
      <c r="I118" s="223"/>
      <c r="J118" s="223"/>
      <c r="K118" s="223"/>
      <c r="L118" s="223"/>
      <c r="M118" s="223"/>
      <c r="N118" s="223"/>
      <c r="O118" s="223"/>
      <c r="P118" s="222"/>
      <c r="Q118" s="284"/>
      <c r="R118" s="284"/>
      <c r="S118" s="229"/>
      <c r="T118" s="229"/>
    </row>
    <row r="119" spans="1:20" ht="18.75" customHeight="1">
      <c r="A119" s="242">
        <f t="shared" si="18"/>
        <v>43282</v>
      </c>
      <c r="B119" s="241">
        <f t="shared" si="19"/>
        <v>43283</v>
      </c>
      <c r="C119" s="241">
        <f t="shared" si="19"/>
        <v>43284</v>
      </c>
      <c r="D119" s="245">
        <f t="shared" si="19"/>
        <v>43285</v>
      </c>
      <c r="E119" s="241">
        <f t="shared" si="19"/>
        <v>43286</v>
      </c>
      <c r="F119" s="241">
        <f t="shared" si="19"/>
        <v>43287</v>
      </c>
      <c r="G119" s="242">
        <f t="shared" si="16"/>
        <v>43288</v>
      </c>
      <c r="H119" s="247"/>
      <c r="I119" s="223"/>
      <c r="J119" s="223"/>
      <c r="K119" s="223"/>
      <c r="L119" s="223"/>
      <c r="M119" s="223"/>
      <c r="N119" s="223"/>
      <c r="O119" s="223"/>
      <c r="P119" s="222"/>
      <c r="Q119" s="284"/>
      <c r="R119" s="284"/>
      <c r="S119" s="229"/>
      <c r="T119" s="229"/>
    </row>
    <row r="120" spans="1:20" ht="18.75" customHeight="1">
      <c r="A120" s="218">
        <f t="shared" si="18"/>
        <v>43289</v>
      </c>
      <c r="B120" s="219">
        <f t="shared" si="19"/>
        <v>43290</v>
      </c>
      <c r="C120" s="219">
        <f t="shared" si="19"/>
        <v>43291</v>
      </c>
      <c r="D120" s="219">
        <f t="shared" si="19"/>
        <v>43292</v>
      </c>
      <c r="E120" s="219">
        <f t="shared" si="19"/>
        <v>43293</v>
      </c>
      <c r="F120" s="219">
        <f t="shared" si="19"/>
        <v>43294</v>
      </c>
      <c r="G120" s="218">
        <f t="shared" si="16"/>
        <v>43295</v>
      </c>
      <c r="H120" s="224"/>
      <c r="I120" s="223"/>
      <c r="J120" s="223"/>
      <c r="K120" s="223"/>
      <c r="L120" s="223"/>
      <c r="M120" s="223"/>
      <c r="N120" s="223"/>
      <c r="O120" s="223"/>
      <c r="P120" s="222"/>
      <c r="Q120" s="229" t="s">
        <v>139</v>
      </c>
      <c r="R120" s="229"/>
      <c r="S120" s="229"/>
      <c r="T120" s="229"/>
    </row>
    <row r="121" spans="1:20" ht="18.75" customHeight="1">
      <c r="A121" s="218">
        <f t="shared" si="18"/>
        <v>43296</v>
      </c>
      <c r="B121" s="219">
        <f t="shared" si="19"/>
        <v>43297</v>
      </c>
      <c r="C121" s="219">
        <f t="shared" si="19"/>
        <v>43298</v>
      </c>
      <c r="D121" s="219">
        <f t="shared" si="19"/>
        <v>43299</v>
      </c>
      <c r="E121" s="219">
        <f t="shared" si="19"/>
        <v>43300</v>
      </c>
      <c r="F121" s="219">
        <f t="shared" si="19"/>
        <v>43301</v>
      </c>
      <c r="G121" s="218">
        <f t="shared" si="16"/>
        <v>43302</v>
      </c>
      <c r="H121" s="224"/>
      <c r="I121" s="223"/>
      <c r="J121" s="223"/>
      <c r="K121" s="223"/>
      <c r="L121" s="223"/>
      <c r="M121" s="223"/>
      <c r="N121" s="223"/>
      <c r="O121" s="223"/>
      <c r="P121" s="222"/>
      <c r="Q121" s="229" t="s">
        <v>138</v>
      </c>
      <c r="R121" s="229"/>
      <c r="S121" s="229"/>
      <c r="T121" s="229"/>
    </row>
    <row r="122" spans="1:20" ht="18.75" customHeight="1">
      <c r="A122" s="218">
        <f t="shared" si="18"/>
        <v>43303</v>
      </c>
      <c r="B122" s="219">
        <f t="shared" ref="B122:F131" si="20">A122+1</f>
        <v>43304</v>
      </c>
      <c r="C122" s="219">
        <f t="shared" si="20"/>
        <v>43305</v>
      </c>
      <c r="D122" s="219">
        <f t="shared" si="20"/>
        <v>43306</v>
      </c>
      <c r="E122" s="219">
        <f t="shared" si="20"/>
        <v>43307</v>
      </c>
      <c r="F122" s="219">
        <f t="shared" si="20"/>
        <v>43308</v>
      </c>
      <c r="G122" s="218">
        <f t="shared" si="16"/>
        <v>43309</v>
      </c>
      <c r="H122" s="224"/>
      <c r="I122" s="223"/>
      <c r="J122" s="223"/>
      <c r="K122" s="223"/>
      <c r="L122" s="223"/>
      <c r="M122" s="223"/>
      <c r="N122" s="223"/>
      <c r="O122" s="223"/>
      <c r="P122" s="222"/>
      <c r="Q122" s="229" t="s">
        <v>137</v>
      </c>
      <c r="R122" s="229"/>
      <c r="S122" s="229"/>
      <c r="T122" s="229"/>
    </row>
    <row r="123" spans="1:20" ht="18.75" customHeight="1">
      <c r="A123" s="218">
        <f t="shared" si="18"/>
        <v>43310</v>
      </c>
      <c r="B123" s="219">
        <f t="shared" si="20"/>
        <v>43311</v>
      </c>
      <c r="C123" s="219">
        <f t="shared" si="20"/>
        <v>43312</v>
      </c>
      <c r="D123" s="241">
        <f t="shared" si="20"/>
        <v>43313</v>
      </c>
      <c r="E123" s="241">
        <f t="shared" si="20"/>
        <v>43314</v>
      </c>
      <c r="F123" s="241">
        <f t="shared" si="20"/>
        <v>43315</v>
      </c>
      <c r="G123" s="242">
        <f t="shared" si="16"/>
        <v>43316</v>
      </c>
      <c r="H123" s="224"/>
      <c r="I123" s="223"/>
      <c r="J123" s="223"/>
      <c r="K123" s="223"/>
      <c r="L123" s="223"/>
      <c r="M123" s="223"/>
      <c r="N123" s="223"/>
      <c r="O123" s="223"/>
      <c r="P123" s="222"/>
      <c r="Q123" s="229" t="s">
        <v>136</v>
      </c>
      <c r="R123" s="230"/>
      <c r="S123" s="229"/>
      <c r="T123" s="229"/>
    </row>
    <row r="124" spans="1:20" ht="18.75" customHeight="1">
      <c r="A124" s="242">
        <f t="shared" si="18"/>
        <v>43317</v>
      </c>
      <c r="B124" s="241">
        <f t="shared" si="20"/>
        <v>43318</v>
      </c>
      <c r="C124" s="241">
        <f t="shared" si="20"/>
        <v>43319</v>
      </c>
      <c r="D124" s="219">
        <f t="shared" si="20"/>
        <v>43320</v>
      </c>
      <c r="E124" s="219">
        <f t="shared" si="20"/>
        <v>43321</v>
      </c>
      <c r="F124" s="219">
        <f t="shared" si="20"/>
        <v>43322</v>
      </c>
      <c r="G124" s="218">
        <f t="shared" si="16"/>
        <v>43323</v>
      </c>
      <c r="H124" s="224"/>
      <c r="I124" s="223"/>
      <c r="J124" s="223"/>
      <c r="K124" s="223"/>
      <c r="L124" s="223"/>
      <c r="M124" s="223"/>
      <c r="N124" s="223"/>
      <c r="O124" s="223"/>
    </row>
    <row r="125" spans="1:20" ht="18.75" customHeight="1">
      <c r="A125" s="218">
        <f t="shared" si="18"/>
        <v>43324</v>
      </c>
      <c r="B125" s="219">
        <f t="shared" si="20"/>
        <v>43325</v>
      </c>
      <c r="C125" s="219">
        <f t="shared" si="20"/>
        <v>43326</v>
      </c>
      <c r="D125" s="219">
        <f t="shared" si="20"/>
        <v>43327</v>
      </c>
      <c r="E125" s="219">
        <f t="shared" si="20"/>
        <v>43328</v>
      </c>
      <c r="F125" s="219">
        <f t="shared" si="20"/>
        <v>43329</v>
      </c>
      <c r="G125" s="218">
        <f t="shared" si="16"/>
        <v>43330</v>
      </c>
      <c r="H125" s="224"/>
      <c r="I125" s="223"/>
      <c r="J125" s="223"/>
      <c r="K125" s="223"/>
      <c r="L125" s="223"/>
      <c r="M125" s="223"/>
      <c r="N125" s="223"/>
      <c r="O125" s="223"/>
      <c r="Q125" s="222"/>
      <c r="T125" s="217"/>
    </row>
    <row r="126" spans="1:20" ht="18.75" customHeight="1">
      <c r="A126" s="218">
        <f t="shared" si="18"/>
        <v>43331</v>
      </c>
      <c r="B126" s="219">
        <f t="shared" si="20"/>
        <v>43332</v>
      </c>
      <c r="C126" s="219">
        <f t="shared" si="20"/>
        <v>43333</v>
      </c>
      <c r="D126" s="219">
        <f t="shared" si="20"/>
        <v>43334</v>
      </c>
      <c r="E126" s="219">
        <f t="shared" si="20"/>
        <v>43335</v>
      </c>
      <c r="F126" s="219">
        <f t="shared" si="20"/>
        <v>43336</v>
      </c>
      <c r="G126" s="218">
        <f t="shared" si="16"/>
        <v>43337</v>
      </c>
      <c r="H126" s="224"/>
      <c r="I126" s="223"/>
      <c r="J126" s="223"/>
      <c r="K126" s="223"/>
      <c r="L126" s="223"/>
      <c r="M126" s="223"/>
      <c r="N126" s="223"/>
      <c r="O126" s="223"/>
      <c r="Q126" s="222"/>
      <c r="T126" s="217"/>
    </row>
    <row r="127" spans="1:20" ht="18.75" customHeight="1">
      <c r="A127" s="218">
        <f t="shared" si="18"/>
        <v>43338</v>
      </c>
      <c r="B127" s="219">
        <f t="shared" si="20"/>
        <v>43339</v>
      </c>
      <c r="C127" s="219">
        <f t="shared" si="20"/>
        <v>43340</v>
      </c>
      <c r="D127" s="219">
        <f t="shared" si="20"/>
        <v>43341</v>
      </c>
      <c r="E127" s="219">
        <f t="shared" si="20"/>
        <v>43342</v>
      </c>
      <c r="F127" s="219">
        <f t="shared" si="20"/>
        <v>43343</v>
      </c>
      <c r="G127" s="242">
        <f t="shared" si="16"/>
        <v>43344</v>
      </c>
      <c r="H127" s="224"/>
      <c r="I127" s="223"/>
      <c r="J127" s="223"/>
      <c r="K127" s="223"/>
      <c r="L127" s="223"/>
      <c r="M127" s="223"/>
      <c r="N127" s="223"/>
      <c r="O127" s="223"/>
      <c r="Q127" s="222"/>
      <c r="T127" s="217"/>
    </row>
    <row r="128" spans="1:20" ht="18.75" customHeight="1">
      <c r="A128" s="242">
        <f t="shared" si="18"/>
        <v>43345</v>
      </c>
      <c r="B128" s="241">
        <f t="shared" si="20"/>
        <v>43346</v>
      </c>
      <c r="C128" s="244">
        <f t="shared" si="20"/>
        <v>43347</v>
      </c>
      <c r="D128" s="244">
        <f t="shared" si="20"/>
        <v>43348</v>
      </c>
      <c r="E128" s="244">
        <f t="shared" si="20"/>
        <v>43349</v>
      </c>
      <c r="F128" s="244">
        <f t="shared" si="20"/>
        <v>43350</v>
      </c>
      <c r="G128" s="218">
        <f t="shared" si="16"/>
        <v>43351</v>
      </c>
      <c r="H128" s="224"/>
      <c r="I128" s="223"/>
      <c r="J128" s="223"/>
      <c r="K128" s="223"/>
      <c r="L128" s="223"/>
      <c r="M128" s="223"/>
      <c r="N128" s="223"/>
      <c r="O128" s="223"/>
      <c r="Q128" s="222"/>
      <c r="T128" s="217"/>
    </row>
    <row r="129" spans="1:20" ht="18.75" customHeight="1">
      <c r="A129" s="218">
        <f t="shared" si="18"/>
        <v>43352</v>
      </c>
      <c r="B129" s="219">
        <f t="shared" si="20"/>
        <v>43353</v>
      </c>
      <c r="C129" s="219">
        <f t="shared" si="20"/>
        <v>43354</v>
      </c>
      <c r="D129" s="219">
        <f t="shared" si="20"/>
        <v>43355</v>
      </c>
      <c r="E129" s="219">
        <f t="shared" si="20"/>
        <v>43356</v>
      </c>
      <c r="F129" s="219">
        <f t="shared" si="20"/>
        <v>43357</v>
      </c>
      <c r="G129" s="218">
        <f t="shared" si="16"/>
        <v>43358</v>
      </c>
      <c r="H129" s="224"/>
      <c r="I129" s="223"/>
      <c r="J129" s="223"/>
      <c r="K129" s="223"/>
      <c r="L129" s="223"/>
      <c r="M129" s="223"/>
      <c r="N129" s="223"/>
      <c r="O129" s="223"/>
      <c r="Q129" s="222"/>
      <c r="T129" s="217"/>
    </row>
    <row r="130" spans="1:20" ht="18.75" customHeight="1">
      <c r="A130" s="218">
        <f t="shared" ref="A130:A142" si="21">G129+1</f>
        <v>43359</v>
      </c>
      <c r="B130" s="219">
        <f t="shared" si="20"/>
        <v>43360</v>
      </c>
      <c r="C130" s="219">
        <f t="shared" si="20"/>
        <v>43361</v>
      </c>
      <c r="D130" s="219">
        <f t="shared" si="20"/>
        <v>43362</v>
      </c>
      <c r="E130" s="219">
        <f t="shared" si="20"/>
        <v>43363</v>
      </c>
      <c r="F130" s="219">
        <f t="shared" si="20"/>
        <v>43364</v>
      </c>
      <c r="G130" s="227">
        <f t="shared" si="16"/>
        <v>43365</v>
      </c>
      <c r="H130" s="224"/>
      <c r="I130" s="223"/>
      <c r="J130" s="223"/>
      <c r="K130" s="223"/>
      <c r="L130" s="223"/>
      <c r="M130" s="223"/>
      <c r="N130" s="223"/>
      <c r="O130" s="223"/>
      <c r="Q130" s="222"/>
      <c r="T130" s="217"/>
    </row>
    <row r="131" spans="1:20" ht="18.75" customHeight="1">
      <c r="A131" s="227">
        <f t="shared" si="21"/>
        <v>43366</v>
      </c>
      <c r="B131" s="219">
        <f t="shared" si="20"/>
        <v>43367</v>
      </c>
      <c r="C131" s="219">
        <f t="shared" si="20"/>
        <v>43368</v>
      </c>
      <c r="D131" s="219">
        <f t="shared" si="20"/>
        <v>43369</v>
      </c>
      <c r="E131" s="219">
        <f t="shared" si="20"/>
        <v>43370</v>
      </c>
      <c r="F131" s="219">
        <f t="shared" si="20"/>
        <v>43371</v>
      </c>
      <c r="G131" s="218">
        <f t="shared" si="16"/>
        <v>43372</v>
      </c>
      <c r="H131" s="224"/>
      <c r="I131" s="223"/>
      <c r="J131" s="223"/>
      <c r="K131" s="223"/>
      <c r="L131" s="223"/>
      <c r="M131" s="223"/>
      <c r="N131" s="223"/>
      <c r="O131" s="223"/>
      <c r="Q131" s="222"/>
      <c r="T131" s="217"/>
    </row>
    <row r="132" spans="1:20" ht="18.75" customHeight="1">
      <c r="A132" s="218">
        <f t="shared" si="21"/>
        <v>43373</v>
      </c>
      <c r="B132" s="241">
        <f t="shared" ref="B132:F141" si="22">A132+1</f>
        <v>43374</v>
      </c>
      <c r="C132" s="241">
        <f t="shared" si="22"/>
        <v>43375</v>
      </c>
      <c r="D132" s="241">
        <f t="shared" si="22"/>
        <v>43376</v>
      </c>
      <c r="E132" s="241">
        <f t="shared" si="22"/>
        <v>43377</v>
      </c>
      <c r="F132" s="241">
        <f t="shared" si="22"/>
        <v>43378</v>
      </c>
      <c r="G132" s="242">
        <f t="shared" si="16"/>
        <v>43379</v>
      </c>
      <c r="H132" s="224"/>
      <c r="I132" s="223"/>
      <c r="J132" s="223"/>
      <c r="K132" s="223"/>
      <c r="L132" s="223"/>
      <c r="M132" s="223"/>
      <c r="N132" s="223"/>
      <c r="O132" s="223"/>
      <c r="Q132" s="222"/>
      <c r="T132" s="217"/>
    </row>
    <row r="133" spans="1:20" ht="18.75" customHeight="1">
      <c r="A133" s="242">
        <f t="shared" si="21"/>
        <v>43380</v>
      </c>
      <c r="B133" s="219">
        <f t="shared" si="22"/>
        <v>43381</v>
      </c>
      <c r="C133" s="219">
        <f t="shared" si="22"/>
        <v>43382</v>
      </c>
      <c r="D133" s="219">
        <f t="shared" si="22"/>
        <v>43383</v>
      </c>
      <c r="E133" s="219">
        <f t="shared" si="22"/>
        <v>43384</v>
      </c>
      <c r="F133" s="219">
        <f t="shared" si="22"/>
        <v>43385</v>
      </c>
      <c r="G133" s="218">
        <f t="shared" si="16"/>
        <v>43386</v>
      </c>
      <c r="H133" s="247"/>
      <c r="I133" s="223"/>
      <c r="J133" s="223"/>
      <c r="K133" s="223"/>
      <c r="L133" s="223"/>
      <c r="M133" s="223"/>
      <c r="N133" s="223"/>
      <c r="O133" s="223"/>
      <c r="Q133" s="222"/>
      <c r="T133" s="217"/>
    </row>
    <row r="134" spans="1:20" ht="18.75" customHeight="1">
      <c r="A134" s="218">
        <f t="shared" si="21"/>
        <v>43387</v>
      </c>
      <c r="B134" s="219">
        <f t="shared" si="22"/>
        <v>43388</v>
      </c>
      <c r="C134" s="219">
        <f t="shared" si="22"/>
        <v>43389</v>
      </c>
      <c r="D134" s="219">
        <f t="shared" si="22"/>
        <v>43390</v>
      </c>
      <c r="E134" s="219">
        <f t="shared" si="22"/>
        <v>43391</v>
      </c>
      <c r="F134" s="219">
        <f t="shared" si="22"/>
        <v>43392</v>
      </c>
      <c r="G134" s="218">
        <f t="shared" si="16"/>
        <v>43393</v>
      </c>
      <c r="H134" s="224"/>
      <c r="I134" s="223"/>
      <c r="J134" s="223"/>
      <c r="K134" s="223"/>
      <c r="L134" s="223"/>
      <c r="M134" s="223"/>
      <c r="N134" s="223"/>
      <c r="O134" s="223"/>
      <c r="Q134" s="222"/>
      <c r="T134" s="217"/>
    </row>
    <row r="135" spans="1:20" ht="18.75" customHeight="1">
      <c r="A135" s="218">
        <f t="shared" si="21"/>
        <v>43394</v>
      </c>
      <c r="B135" s="219">
        <f t="shared" si="22"/>
        <v>43395</v>
      </c>
      <c r="C135" s="219">
        <f t="shared" si="22"/>
        <v>43396</v>
      </c>
      <c r="D135" s="219">
        <f t="shared" si="22"/>
        <v>43397</v>
      </c>
      <c r="E135" s="219">
        <f t="shared" si="22"/>
        <v>43398</v>
      </c>
      <c r="F135" s="219">
        <f t="shared" si="22"/>
        <v>43399</v>
      </c>
      <c r="G135" s="218">
        <f t="shared" si="16"/>
        <v>43400</v>
      </c>
      <c r="H135" s="224"/>
      <c r="I135" s="223"/>
      <c r="J135" s="223"/>
      <c r="K135" s="223"/>
      <c r="L135" s="223"/>
      <c r="M135" s="223"/>
      <c r="N135" s="223"/>
      <c r="O135" s="223"/>
      <c r="Q135" s="222"/>
      <c r="T135" s="217"/>
    </row>
    <row r="136" spans="1:20" ht="18.75" customHeight="1">
      <c r="A136" s="218">
        <f t="shared" si="21"/>
        <v>43401</v>
      </c>
      <c r="B136" s="219">
        <f t="shared" si="22"/>
        <v>43402</v>
      </c>
      <c r="C136" s="219">
        <f t="shared" si="22"/>
        <v>43403</v>
      </c>
      <c r="D136" s="219">
        <f t="shared" si="22"/>
        <v>43404</v>
      </c>
      <c r="E136" s="241">
        <f t="shared" si="22"/>
        <v>43405</v>
      </c>
      <c r="F136" s="241">
        <f t="shared" si="22"/>
        <v>43406</v>
      </c>
      <c r="G136" s="242">
        <f t="shared" si="16"/>
        <v>43407</v>
      </c>
      <c r="H136" s="224"/>
      <c r="I136" s="223"/>
      <c r="J136" s="223"/>
      <c r="K136" s="223"/>
      <c r="L136" s="223"/>
      <c r="M136" s="223"/>
      <c r="N136" s="223"/>
      <c r="O136" s="223"/>
      <c r="Q136" s="222"/>
      <c r="T136" s="217"/>
    </row>
    <row r="137" spans="1:20" ht="18.75" customHeight="1">
      <c r="A137" s="242">
        <f t="shared" si="21"/>
        <v>43408</v>
      </c>
      <c r="B137" s="241">
        <f t="shared" si="22"/>
        <v>43409</v>
      </c>
      <c r="C137" s="241">
        <f t="shared" si="22"/>
        <v>43410</v>
      </c>
      <c r="D137" s="241">
        <f t="shared" si="22"/>
        <v>43411</v>
      </c>
      <c r="E137" s="219">
        <f t="shared" si="22"/>
        <v>43412</v>
      </c>
      <c r="F137" s="219">
        <f t="shared" si="22"/>
        <v>43413</v>
      </c>
      <c r="G137" s="218">
        <f t="shared" si="16"/>
        <v>43414</v>
      </c>
      <c r="H137" s="224"/>
      <c r="I137" s="223"/>
      <c r="J137" s="223"/>
      <c r="K137" s="223"/>
      <c r="L137" s="223"/>
      <c r="M137" s="223"/>
      <c r="N137" s="223"/>
      <c r="O137" s="223"/>
      <c r="Q137" s="222"/>
      <c r="T137" s="217"/>
    </row>
    <row r="138" spans="1:20" ht="18.75" customHeight="1">
      <c r="A138" s="218">
        <f t="shared" si="21"/>
        <v>43415</v>
      </c>
      <c r="B138" s="219">
        <f t="shared" si="22"/>
        <v>43416</v>
      </c>
      <c r="C138" s="219">
        <f t="shared" si="22"/>
        <v>43417</v>
      </c>
      <c r="D138" s="219">
        <f t="shared" si="22"/>
        <v>43418</v>
      </c>
      <c r="E138" s="219">
        <f t="shared" si="22"/>
        <v>43419</v>
      </c>
      <c r="F138" s="219">
        <f t="shared" si="22"/>
        <v>43420</v>
      </c>
      <c r="G138" s="218">
        <f t="shared" si="16"/>
        <v>43421</v>
      </c>
      <c r="Q138" s="222"/>
      <c r="T138" s="217"/>
    </row>
    <row r="139" spans="1:20" ht="18.75" customHeight="1">
      <c r="A139" s="218">
        <f t="shared" si="21"/>
        <v>43422</v>
      </c>
      <c r="B139" s="219">
        <f t="shared" si="22"/>
        <v>43423</v>
      </c>
      <c r="C139" s="219">
        <f t="shared" si="22"/>
        <v>43424</v>
      </c>
      <c r="D139" s="219">
        <f t="shared" si="22"/>
        <v>43425</v>
      </c>
      <c r="E139" s="219">
        <f t="shared" si="22"/>
        <v>43426</v>
      </c>
      <c r="F139" s="219">
        <f t="shared" si="22"/>
        <v>43427</v>
      </c>
      <c r="G139" s="218">
        <f t="shared" si="16"/>
        <v>43428</v>
      </c>
      <c r="Q139" s="222"/>
      <c r="T139" s="217"/>
    </row>
    <row r="140" spans="1:20" ht="18.75" customHeight="1">
      <c r="A140" s="218">
        <f t="shared" si="21"/>
        <v>43429</v>
      </c>
      <c r="B140" s="219">
        <f t="shared" si="22"/>
        <v>43430</v>
      </c>
      <c r="C140" s="219">
        <f t="shared" si="22"/>
        <v>43431</v>
      </c>
      <c r="D140" s="219">
        <f t="shared" si="22"/>
        <v>43432</v>
      </c>
      <c r="E140" s="219">
        <f t="shared" si="22"/>
        <v>43433</v>
      </c>
      <c r="F140" s="219">
        <f t="shared" si="22"/>
        <v>43434</v>
      </c>
      <c r="G140" s="242">
        <f t="shared" si="16"/>
        <v>43435</v>
      </c>
      <c r="Q140" s="222"/>
      <c r="T140" s="217"/>
    </row>
    <row r="141" spans="1:20" ht="18.75" customHeight="1">
      <c r="A141" s="242">
        <f t="shared" si="21"/>
        <v>43436</v>
      </c>
      <c r="B141" s="241">
        <f t="shared" si="22"/>
        <v>43437</v>
      </c>
      <c r="C141" s="241">
        <f t="shared" si="22"/>
        <v>43438</v>
      </c>
      <c r="D141" s="241">
        <f t="shared" si="22"/>
        <v>43439</v>
      </c>
      <c r="E141" s="241">
        <f t="shared" si="22"/>
        <v>43440</v>
      </c>
      <c r="F141" s="241">
        <f t="shared" si="22"/>
        <v>43441</v>
      </c>
      <c r="G141" s="218">
        <f t="shared" si="16"/>
        <v>43442</v>
      </c>
      <c r="T141" s="217"/>
    </row>
    <row r="142" spans="1:20" ht="18.75" customHeight="1">
      <c r="A142" s="218">
        <f t="shared" si="21"/>
        <v>43443</v>
      </c>
      <c r="B142" s="219">
        <f t="shared" ref="B142:F151" si="23">A142+1</f>
        <v>43444</v>
      </c>
      <c r="C142" s="219">
        <f t="shared" si="23"/>
        <v>43445</v>
      </c>
      <c r="D142" s="219">
        <f t="shared" si="23"/>
        <v>43446</v>
      </c>
      <c r="E142" s="219">
        <f t="shared" si="23"/>
        <v>43447</v>
      </c>
      <c r="F142" s="219">
        <f t="shared" si="23"/>
        <v>43448</v>
      </c>
      <c r="G142" s="218">
        <f t="shared" si="16"/>
        <v>43449</v>
      </c>
    </row>
    <row r="143" spans="1:20" ht="18.75" customHeight="1">
      <c r="A143" s="218">
        <f t="shared" ref="A143:A155" si="24">G142+1</f>
        <v>43450</v>
      </c>
      <c r="B143" s="219">
        <f t="shared" si="23"/>
        <v>43451</v>
      </c>
      <c r="C143" s="219">
        <f t="shared" si="23"/>
        <v>43452</v>
      </c>
      <c r="D143" s="219">
        <f t="shared" si="23"/>
        <v>43453</v>
      </c>
      <c r="E143" s="219">
        <f t="shared" si="23"/>
        <v>43454</v>
      </c>
      <c r="F143" s="219">
        <f t="shared" si="23"/>
        <v>43455</v>
      </c>
      <c r="G143" s="218">
        <f t="shared" si="16"/>
        <v>43456</v>
      </c>
    </row>
    <row r="144" spans="1:20" ht="18.75" customHeight="1">
      <c r="A144" s="218">
        <f t="shared" si="24"/>
        <v>43457</v>
      </c>
      <c r="B144" s="219">
        <f t="shared" si="23"/>
        <v>43458</v>
      </c>
      <c r="C144" s="219">
        <f t="shared" si="23"/>
        <v>43459</v>
      </c>
      <c r="D144" s="219">
        <f t="shared" si="23"/>
        <v>43460</v>
      </c>
      <c r="E144" s="219">
        <f t="shared" si="23"/>
        <v>43461</v>
      </c>
      <c r="F144" s="219">
        <f t="shared" si="23"/>
        <v>43462</v>
      </c>
      <c r="G144" s="218">
        <f t="shared" si="16"/>
        <v>43463</v>
      </c>
    </row>
    <row r="145" spans="1:9" ht="18.75" customHeight="1">
      <c r="A145" s="218">
        <f t="shared" si="24"/>
        <v>43464</v>
      </c>
      <c r="B145" s="219">
        <f t="shared" si="23"/>
        <v>43465</v>
      </c>
      <c r="C145" s="241">
        <f t="shared" si="23"/>
        <v>43466</v>
      </c>
      <c r="D145" s="241">
        <f t="shared" si="23"/>
        <v>43467</v>
      </c>
      <c r="E145" s="241">
        <f t="shared" si="23"/>
        <v>43468</v>
      </c>
      <c r="F145" s="241">
        <f t="shared" si="23"/>
        <v>43469</v>
      </c>
      <c r="G145" s="242">
        <f t="shared" si="16"/>
        <v>43470</v>
      </c>
      <c r="H145" s="217" t="s">
        <v>153</v>
      </c>
      <c r="I145" s="240">
        <v>2019</v>
      </c>
    </row>
    <row r="146" spans="1:9" ht="18.75" customHeight="1">
      <c r="A146" s="242">
        <f t="shared" si="24"/>
        <v>43471</v>
      </c>
      <c r="B146" s="241">
        <f t="shared" si="23"/>
        <v>43472</v>
      </c>
      <c r="C146" s="219">
        <f t="shared" si="23"/>
        <v>43473</v>
      </c>
      <c r="D146" s="219">
        <f t="shared" si="23"/>
        <v>43474</v>
      </c>
      <c r="E146" s="219">
        <f t="shared" si="23"/>
        <v>43475</v>
      </c>
      <c r="F146" s="219">
        <f t="shared" si="23"/>
        <v>43476</v>
      </c>
      <c r="G146" s="218">
        <f t="shared" si="16"/>
        <v>43477</v>
      </c>
    </row>
    <row r="147" spans="1:9" ht="18.75" customHeight="1">
      <c r="A147" s="218">
        <f t="shared" si="24"/>
        <v>43478</v>
      </c>
      <c r="B147" s="219">
        <f t="shared" si="23"/>
        <v>43479</v>
      </c>
      <c r="C147" s="219">
        <f t="shared" si="23"/>
        <v>43480</v>
      </c>
      <c r="D147" s="219">
        <f t="shared" si="23"/>
        <v>43481</v>
      </c>
      <c r="E147" s="219">
        <f t="shared" si="23"/>
        <v>43482</v>
      </c>
      <c r="F147" s="219">
        <f t="shared" si="23"/>
        <v>43483</v>
      </c>
      <c r="G147" s="218">
        <f t="shared" si="16"/>
        <v>43484</v>
      </c>
    </row>
    <row r="148" spans="1:9" ht="18.75" customHeight="1">
      <c r="A148" s="218">
        <f t="shared" si="24"/>
        <v>43485</v>
      </c>
      <c r="B148" s="219">
        <f t="shared" si="23"/>
        <v>43486</v>
      </c>
      <c r="C148" s="219">
        <f t="shared" si="23"/>
        <v>43487</v>
      </c>
      <c r="D148" s="219">
        <f t="shared" si="23"/>
        <v>43488</v>
      </c>
      <c r="E148" s="219">
        <f t="shared" si="23"/>
        <v>43489</v>
      </c>
      <c r="F148" s="219">
        <f t="shared" si="23"/>
        <v>43490</v>
      </c>
      <c r="G148" s="218">
        <f t="shared" si="16"/>
        <v>43491</v>
      </c>
    </row>
    <row r="149" spans="1:9" ht="18.75" customHeight="1">
      <c r="A149" s="218">
        <f t="shared" si="24"/>
        <v>43492</v>
      </c>
      <c r="B149" s="219">
        <f t="shared" si="23"/>
        <v>43493</v>
      </c>
      <c r="C149" s="219">
        <f t="shared" si="23"/>
        <v>43494</v>
      </c>
      <c r="D149" s="219">
        <f t="shared" si="23"/>
        <v>43495</v>
      </c>
      <c r="E149" s="219">
        <f t="shared" si="23"/>
        <v>43496</v>
      </c>
      <c r="F149" s="241">
        <f t="shared" si="23"/>
        <v>43497</v>
      </c>
      <c r="G149" s="242">
        <f t="shared" si="16"/>
        <v>43498</v>
      </c>
      <c r="H149" s="217" t="s">
        <v>154</v>
      </c>
    </row>
    <row r="150" spans="1:9" ht="18.75" customHeight="1">
      <c r="A150" s="242">
        <f t="shared" si="24"/>
        <v>43499</v>
      </c>
      <c r="B150" s="241">
        <f t="shared" si="23"/>
        <v>43500</v>
      </c>
      <c r="C150" s="241">
        <f t="shared" si="23"/>
        <v>43501</v>
      </c>
      <c r="D150" s="241">
        <f t="shared" si="23"/>
        <v>43502</v>
      </c>
      <c r="E150" s="241">
        <f t="shared" si="23"/>
        <v>43503</v>
      </c>
      <c r="F150" s="219">
        <f t="shared" si="23"/>
        <v>43504</v>
      </c>
      <c r="G150" s="218">
        <f t="shared" si="16"/>
        <v>43505</v>
      </c>
    </row>
    <row r="151" spans="1:9" ht="18.75" customHeight="1">
      <c r="A151" s="218">
        <f t="shared" si="24"/>
        <v>43506</v>
      </c>
      <c r="B151" s="219">
        <f t="shared" si="23"/>
        <v>43507</v>
      </c>
      <c r="C151" s="219">
        <f t="shared" si="23"/>
        <v>43508</v>
      </c>
      <c r="D151" s="219">
        <f t="shared" si="23"/>
        <v>43509</v>
      </c>
      <c r="E151" s="219">
        <f t="shared" si="23"/>
        <v>43510</v>
      </c>
      <c r="F151" s="219">
        <f t="shared" si="23"/>
        <v>43511</v>
      </c>
      <c r="G151" s="218">
        <f t="shared" si="16"/>
        <v>43512</v>
      </c>
    </row>
    <row r="152" spans="1:9" ht="18.75" customHeight="1">
      <c r="A152" s="218">
        <f t="shared" si="24"/>
        <v>43513</v>
      </c>
      <c r="B152" s="219">
        <f t="shared" ref="B152:F155" si="25">A152+1</f>
        <v>43514</v>
      </c>
      <c r="C152" s="219">
        <f t="shared" si="25"/>
        <v>43515</v>
      </c>
      <c r="D152" s="219">
        <f t="shared" si="25"/>
        <v>43516</v>
      </c>
      <c r="E152" s="219">
        <f t="shared" si="25"/>
        <v>43517</v>
      </c>
      <c r="F152" s="219">
        <f t="shared" si="25"/>
        <v>43518</v>
      </c>
      <c r="G152" s="218">
        <f t="shared" si="16"/>
        <v>43519</v>
      </c>
    </row>
    <row r="153" spans="1:9" ht="18.75" customHeight="1">
      <c r="A153" s="218">
        <f t="shared" si="24"/>
        <v>43520</v>
      </c>
      <c r="B153" s="219">
        <f t="shared" si="25"/>
        <v>43521</v>
      </c>
      <c r="C153" s="219">
        <f t="shared" si="25"/>
        <v>43522</v>
      </c>
      <c r="D153" s="219">
        <f t="shared" si="25"/>
        <v>43523</v>
      </c>
      <c r="E153" s="219">
        <f t="shared" si="25"/>
        <v>43524</v>
      </c>
      <c r="F153" s="241">
        <f t="shared" si="25"/>
        <v>43525</v>
      </c>
      <c r="G153" s="242">
        <f t="shared" si="16"/>
        <v>43526</v>
      </c>
      <c r="H153" s="217" t="s">
        <v>155</v>
      </c>
    </row>
    <row r="154" spans="1:9" ht="18.75" customHeight="1">
      <c r="A154" s="242">
        <f t="shared" si="24"/>
        <v>43527</v>
      </c>
      <c r="B154" s="241">
        <f t="shared" si="25"/>
        <v>43528</v>
      </c>
      <c r="C154" s="241">
        <f t="shared" si="25"/>
        <v>43529</v>
      </c>
      <c r="D154" s="241">
        <f t="shared" si="25"/>
        <v>43530</v>
      </c>
      <c r="E154" s="241">
        <f t="shared" si="25"/>
        <v>43531</v>
      </c>
      <c r="F154" s="219">
        <f t="shared" si="25"/>
        <v>43532</v>
      </c>
      <c r="G154" s="218">
        <f t="shared" si="16"/>
        <v>43533</v>
      </c>
    </row>
    <row r="155" spans="1:9" ht="18.75" customHeight="1">
      <c r="A155" s="218">
        <f t="shared" si="24"/>
        <v>43534</v>
      </c>
      <c r="B155" s="219">
        <f t="shared" si="25"/>
        <v>43535</v>
      </c>
      <c r="C155" s="219">
        <f t="shared" si="25"/>
        <v>43536</v>
      </c>
      <c r="D155" s="219">
        <f t="shared" si="25"/>
        <v>43537</v>
      </c>
      <c r="E155" s="219">
        <f t="shared" si="25"/>
        <v>43538</v>
      </c>
      <c r="F155" s="219">
        <f t="shared" si="25"/>
        <v>43539</v>
      </c>
      <c r="G155" s="218">
        <f t="shared" si="16"/>
        <v>43540</v>
      </c>
    </row>
  </sheetData>
  <mergeCells count="2">
    <mergeCell ref="Q7:R10"/>
    <mergeCell ref="Q116:R119"/>
  </mergeCells>
  <conditionalFormatting sqref="L10:P22 J21:K22 J10:K19 H1:H11 I1:I19 J1:P8 I21:I52 I111:I126 J111:O115 J24:P107 I87:I107 I128:I137 H13:H65536 L117:O129 Q134:Q140 J131:O137 Q125:Q132 P119:P123 H107:O109 P142:P65539 I138:O65536 P141:Q141 P109:P117">
    <cfRule type="cellIs" dxfId="14" priority="8" stopIfTrue="1" operator="equal">
      <formula>"Y"</formula>
    </cfRule>
    <cfRule type="cellIs" dxfId="13" priority="9" stopIfTrue="1" operator="equal">
      <formula>"N"</formula>
    </cfRule>
    <cfRule type="cellIs" dxfId="12" priority="10" stopIfTrue="1" operator="equal">
      <formula>"Y?"</formula>
    </cfRule>
  </conditionalFormatting>
  <conditionalFormatting sqref="J128:K129 J117:K126">
    <cfRule type="cellIs" dxfId="11" priority="4" stopIfTrue="1" operator="equal">
      <formula>"Y"</formula>
    </cfRule>
    <cfRule type="cellIs" dxfId="10" priority="5" stopIfTrue="1" operator="equal">
      <formula>"N"</formula>
    </cfRule>
    <cfRule type="cellIs" dxfId="9" priority="6" stopIfTrue="1" operator="equal">
      <formula>"Y?"</formula>
    </cfRule>
  </conditionalFormatting>
  <conditionalFormatting sqref="H110:O110">
    <cfRule type="cellIs" dxfId="8" priority="1" stopIfTrue="1" operator="equal">
      <formula>"Y"</formula>
    </cfRule>
    <cfRule type="cellIs" dxfId="7" priority="2" stopIfTrue="1" operator="equal">
      <formula>"N"</formula>
    </cfRule>
    <cfRule type="cellIs" dxfId="6" priority="3" stopIfTrue="1" operator="equal">
      <formula>"Y?"</formula>
    </cfRule>
  </conditionalFormatting>
  <printOptions gridLines="1"/>
  <pageMargins left="0.44" right="0.43" top="0.69" bottom="0.81" header="0.24" footer="0.5"/>
  <pageSetup scale="92" fitToWidth="0" orientation="landscape" r:id="rId1"/>
  <headerFooter alignWithMargins="0">
    <oddHeader>&amp;C&amp;F</oddHeader>
    <oddFooter>&amp;C&amp;Z&amp;F&amp;RPrinted &amp;D</oddFooter>
  </headerFooter>
  <drawing r:id="rId2"/>
  <legacyDrawing r:id="rId3"/>
  <oleObjects>
    <oleObject progId="StaticMetafile" shapeId="1025" r:id="rId4"/>
  </oleObjec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4"/>
  <sheetViews>
    <sheetView showGridLines="0" zoomScale="90" zoomScaleNormal="90" workbookViewId="0">
      <selection activeCell="A15" sqref="A15:XFD16"/>
    </sheetView>
  </sheetViews>
  <sheetFormatPr defaultRowHeight="12.75"/>
  <cols>
    <col min="1" max="1" width="9.140625" style="198"/>
    <col min="2" max="2" width="7.28515625" style="1" customWidth="1"/>
    <col min="3" max="3" width="25.28515625" style="2" customWidth="1"/>
    <col min="4" max="4" width="6.140625" style="1" customWidth="1"/>
    <col min="5" max="5" width="11" style="1" customWidth="1"/>
    <col min="6" max="6" width="10.85546875" style="1" customWidth="1"/>
    <col min="7" max="9" width="11" style="1" customWidth="1"/>
    <col min="10" max="10" width="11.28515625" style="1" customWidth="1"/>
    <col min="11" max="11" width="10.42578125" style="1" customWidth="1"/>
    <col min="12" max="12" width="11.28515625" style="1" customWidth="1"/>
    <col min="13" max="13" width="11" style="1" customWidth="1"/>
    <col min="14" max="14" width="8.42578125" style="1" customWidth="1"/>
    <col min="15" max="19" width="6.7109375" style="1" customWidth="1"/>
    <col min="20" max="20" width="22.5703125" style="1" customWidth="1"/>
    <col min="21" max="16384" width="9.140625" style="1"/>
  </cols>
  <sheetData>
    <row r="1" spans="1:21" s="3" customFormat="1" ht="17.25" thickTop="1" thickBot="1">
      <c r="A1" s="193"/>
      <c r="B1" s="278" t="s">
        <v>0</v>
      </c>
      <c r="C1" s="279"/>
      <c r="D1" s="279"/>
      <c r="E1" s="279"/>
      <c r="F1" s="279"/>
      <c r="G1" s="280"/>
      <c r="H1" s="5"/>
      <c r="I1" s="281" t="s">
        <v>1</v>
      </c>
      <c r="J1" s="282"/>
      <c r="K1" s="282"/>
      <c r="L1" s="282"/>
      <c r="M1" s="283"/>
      <c r="N1" s="6"/>
      <c r="O1" s="7"/>
      <c r="P1" s="7"/>
      <c r="Q1" s="7"/>
      <c r="R1" s="7"/>
      <c r="S1" s="7"/>
    </row>
    <row r="2" spans="1:21" s="3" customFormat="1" ht="17.25" thickTop="1" thickBot="1">
      <c r="A2" s="194"/>
      <c r="B2" s="9"/>
      <c r="C2" s="278" t="s">
        <v>2</v>
      </c>
      <c r="D2" s="279"/>
      <c r="E2" s="279"/>
      <c r="F2" s="279"/>
      <c r="G2" s="280"/>
      <c r="H2" s="10"/>
      <c r="I2" s="11"/>
      <c r="J2" s="10"/>
      <c r="K2" s="10"/>
      <c r="L2" s="10"/>
      <c r="M2" s="10"/>
      <c r="N2" s="12"/>
      <c r="O2" s="13"/>
      <c r="P2" s="13"/>
      <c r="Q2" s="13"/>
      <c r="R2" s="13"/>
      <c r="S2" s="13"/>
    </row>
    <row r="3" spans="1:21" s="2" customFormat="1" ht="39.75" thickTop="1" thickBot="1">
      <c r="A3" s="195" t="s">
        <v>3</v>
      </c>
      <c r="B3" s="15" t="s">
        <v>4</v>
      </c>
      <c r="C3" s="15" t="s">
        <v>5</v>
      </c>
      <c r="D3" s="15" t="s">
        <v>107</v>
      </c>
      <c r="E3" s="16" t="s">
        <v>7</v>
      </c>
      <c r="F3" s="15" t="s">
        <v>8</v>
      </c>
      <c r="G3" s="15" t="s">
        <v>9</v>
      </c>
      <c r="H3" s="16" t="s">
        <v>10</v>
      </c>
      <c r="I3" s="15" t="s">
        <v>11</v>
      </c>
      <c r="J3" s="16" t="s">
        <v>12</v>
      </c>
      <c r="K3" s="15" t="s">
        <v>13</v>
      </c>
      <c r="L3" s="16" t="s">
        <v>14</v>
      </c>
      <c r="M3" s="16" t="s">
        <v>15</v>
      </c>
      <c r="N3" s="17" t="s">
        <v>16</v>
      </c>
      <c r="O3" s="192" t="s">
        <v>108</v>
      </c>
      <c r="P3" s="192" t="s">
        <v>109</v>
      </c>
      <c r="Q3" s="192" t="s">
        <v>110</v>
      </c>
      <c r="R3" s="192" t="s">
        <v>111</v>
      </c>
      <c r="S3" s="192" t="s">
        <v>55</v>
      </c>
      <c r="T3" s="18" t="s">
        <v>17</v>
      </c>
    </row>
    <row r="4" spans="1:21" s="2" customFormat="1" ht="30" customHeight="1" thickTop="1" thickBot="1">
      <c r="A4" s="195"/>
      <c r="B4" s="186">
        <v>1</v>
      </c>
      <c r="C4" s="207">
        <v>42848</v>
      </c>
      <c r="D4" s="202" t="s">
        <v>38</v>
      </c>
      <c r="E4" s="186"/>
      <c r="F4" s="186"/>
      <c r="G4" s="186"/>
      <c r="H4" s="186"/>
      <c r="I4" s="186"/>
      <c r="J4" s="186"/>
      <c r="K4" s="186"/>
      <c r="L4" s="186"/>
      <c r="M4" s="186"/>
      <c r="N4" s="188"/>
      <c r="O4" s="23" t="s">
        <v>35</v>
      </c>
      <c r="P4" s="23" t="s">
        <v>35</v>
      </c>
      <c r="Q4" s="23"/>
      <c r="R4" s="23" t="s">
        <v>112</v>
      </c>
      <c r="S4" s="23"/>
    </row>
    <row r="5" spans="1:21" s="2" customFormat="1" ht="30" customHeight="1" thickTop="1" thickBot="1">
      <c r="A5" s="195">
        <f>C5-C4</f>
        <v>14</v>
      </c>
      <c r="B5" s="186">
        <v>2</v>
      </c>
      <c r="C5" s="207">
        <v>42862</v>
      </c>
      <c r="D5" s="202" t="s">
        <v>31</v>
      </c>
      <c r="E5" s="186"/>
      <c r="F5" s="186"/>
      <c r="G5" s="186"/>
      <c r="H5" s="186"/>
      <c r="I5" s="186"/>
      <c r="J5" s="186"/>
      <c r="K5" s="186"/>
      <c r="L5" s="186"/>
      <c r="M5" s="186"/>
      <c r="N5" s="188"/>
      <c r="O5" s="27" t="s">
        <v>35</v>
      </c>
      <c r="P5" s="203" t="s">
        <v>28</v>
      </c>
      <c r="Q5" s="27"/>
      <c r="R5" s="27"/>
      <c r="S5" s="27"/>
    </row>
    <row r="6" spans="1:21" s="2" customFormat="1" ht="30" customHeight="1" thickTop="1" thickBot="1">
      <c r="A6" s="195" t="s">
        <v>114</v>
      </c>
      <c r="B6" s="186" t="s">
        <v>113</v>
      </c>
      <c r="C6" s="211">
        <v>42882</v>
      </c>
      <c r="D6" s="212" t="s">
        <v>19</v>
      </c>
      <c r="E6" s="186"/>
      <c r="F6" s="186"/>
      <c r="G6" s="186"/>
      <c r="H6" s="186"/>
      <c r="I6" s="186"/>
      <c r="J6" s="186"/>
      <c r="K6" s="186"/>
      <c r="L6" s="186"/>
      <c r="M6" s="186"/>
      <c r="N6" s="188"/>
      <c r="O6" s="203" t="s">
        <v>28</v>
      </c>
      <c r="P6" s="27" t="s">
        <v>35</v>
      </c>
      <c r="Q6" s="27"/>
      <c r="R6" s="27"/>
      <c r="S6" s="27"/>
      <c r="T6" s="192"/>
    </row>
    <row r="7" spans="1:21" s="2" customFormat="1" ht="30" customHeight="1" thickTop="1" thickBot="1">
      <c r="A7" s="195">
        <f>C7-C5</f>
        <v>21</v>
      </c>
      <c r="B7" s="186">
        <v>3</v>
      </c>
      <c r="C7" s="207">
        <v>42883</v>
      </c>
      <c r="D7" s="204" t="s">
        <v>19</v>
      </c>
      <c r="E7" s="186"/>
      <c r="F7" s="186"/>
      <c r="G7" s="186"/>
      <c r="H7" s="186"/>
      <c r="I7" s="186"/>
      <c r="J7" s="186"/>
      <c r="K7" s="186"/>
      <c r="L7" s="186"/>
      <c r="M7" s="186"/>
      <c r="N7" s="188"/>
      <c r="O7" s="203" t="s">
        <v>28</v>
      </c>
      <c r="P7" s="203" t="s">
        <v>28</v>
      </c>
      <c r="Q7" s="27"/>
      <c r="R7" s="27"/>
      <c r="S7" s="27"/>
    </row>
    <row r="8" spans="1:21" s="2" customFormat="1" ht="30" customHeight="1" thickTop="1" thickBot="1">
      <c r="A8" s="195">
        <f>C8-C7</f>
        <v>21</v>
      </c>
      <c r="B8" s="186">
        <v>4</v>
      </c>
      <c r="C8" s="207">
        <v>42904</v>
      </c>
      <c r="D8" s="202" t="s">
        <v>19</v>
      </c>
      <c r="E8" s="186"/>
      <c r="F8" s="186"/>
      <c r="G8" s="186"/>
      <c r="H8" s="186"/>
      <c r="I8" s="186"/>
      <c r="J8" s="186"/>
      <c r="K8" s="186"/>
      <c r="L8" s="186"/>
      <c r="M8" s="186"/>
      <c r="N8" s="188"/>
      <c r="O8" s="203" t="s">
        <v>28</v>
      </c>
      <c r="P8" s="203" t="s">
        <v>28</v>
      </c>
      <c r="Q8" s="27"/>
      <c r="R8" s="27"/>
      <c r="S8" s="27"/>
    </row>
    <row r="9" spans="1:21" s="2" customFormat="1" ht="30" customHeight="1" thickTop="1" thickBot="1">
      <c r="A9" s="195">
        <f>C9-C8</f>
        <v>21</v>
      </c>
      <c r="B9" s="186">
        <v>5</v>
      </c>
      <c r="C9" s="207">
        <v>42925</v>
      </c>
      <c r="D9" s="202" t="s">
        <v>31</v>
      </c>
      <c r="E9" s="186"/>
      <c r="F9" s="186"/>
      <c r="G9" s="186"/>
      <c r="H9" s="186"/>
      <c r="I9" s="186"/>
      <c r="J9" s="186"/>
      <c r="K9" s="186"/>
      <c r="L9" s="186"/>
      <c r="M9" s="186"/>
      <c r="N9" s="188"/>
      <c r="O9" s="32" t="s">
        <v>35</v>
      </c>
      <c r="P9" s="206" t="s">
        <v>28</v>
      </c>
      <c r="Q9" s="32"/>
      <c r="R9" s="32"/>
      <c r="S9" s="32"/>
      <c r="T9" s="192" t="s">
        <v>20</v>
      </c>
    </row>
    <row r="10" spans="1:21" s="2" customFormat="1" ht="30" customHeight="1" thickTop="1" thickBot="1">
      <c r="A10" s="195">
        <f>C10-C9</f>
        <v>21</v>
      </c>
      <c r="B10" s="186">
        <v>6</v>
      </c>
      <c r="C10" s="207">
        <v>42946</v>
      </c>
      <c r="D10" s="202" t="s">
        <v>31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8"/>
      <c r="O10" s="27" t="s">
        <v>35</v>
      </c>
      <c r="P10" s="203" t="s">
        <v>28</v>
      </c>
      <c r="Q10" s="27"/>
      <c r="R10" s="27"/>
      <c r="S10" s="27"/>
    </row>
    <row r="11" spans="1:21" s="2" customFormat="1" ht="30" customHeight="1" thickTop="1" thickBot="1">
      <c r="A11" s="195">
        <f>C11-C10</f>
        <v>21</v>
      </c>
      <c r="B11" s="186">
        <v>7</v>
      </c>
      <c r="C11" s="207">
        <v>42967</v>
      </c>
      <c r="D11" s="202" t="s">
        <v>19</v>
      </c>
      <c r="E11" s="186"/>
      <c r="F11" s="186"/>
      <c r="G11" s="186"/>
      <c r="H11" s="186"/>
      <c r="I11" s="186"/>
      <c r="J11" s="186"/>
      <c r="K11" s="186"/>
      <c r="L11" s="186"/>
      <c r="M11" s="186"/>
      <c r="N11" s="188"/>
      <c r="O11" s="203" t="s">
        <v>28</v>
      </c>
      <c r="P11" s="27" t="s">
        <v>35</v>
      </c>
      <c r="Q11" s="27"/>
      <c r="R11" s="27"/>
      <c r="S11" s="27"/>
    </row>
    <row r="12" spans="1:21" s="2" customFormat="1" ht="30" customHeight="1" thickTop="1" thickBot="1">
      <c r="A12" s="195" t="s">
        <v>114</v>
      </c>
      <c r="B12" s="186" t="s">
        <v>113</v>
      </c>
      <c r="C12" s="208">
        <v>42981</v>
      </c>
      <c r="D12" s="186" t="s">
        <v>31</v>
      </c>
      <c r="E12" s="186"/>
      <c r="F12" s="186"/>
      <c r="G12" s="186"/>
      <c r="H12" s="186"/>
      <c r="I12" s="186"/>
      <c r="J12" s="186"/>
      <c r="K12" s="186"/>
      <c r="L12" s="186"/>
      <c r="M12" s="186"/>
      <c r="N12" s="188"/>
      <c r="O12" s="203" t="s">
        <v>28</v>
      </c>
      <c r="P12" s="203" t="s">
        <v>28</v>
      </c>
      <c r="Q12" s="27"/>
      <c r="R12" s="27"/>
      <c r="S12" s="27"/>
      <c r="U12" s="192" t="s">
        <v>105</v>
      </c>
    </row>
    <row r="13" spans="1:21" s="30" customFormat="1" ht="30" customHeight="1" thickTop="1" thickBot="1">
      <c r="A13" s="195">
        <f>C13-C11</f>
        <v>21</v>
      </c>
      <c r="B13" s="186">
        <v>8</v>
      </c>
      <c r="C13" s="207">
        <v>42988</v>
      </c>
      <c r="D13" s="202" t="s">
        <v>38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8"/>
      <c r="O13" s="41" t="s">
        <v>35</v>
      </c>
      <c r="P13" s="203" t="s">
        <v>28</v>
      </c>
      <c r="Q13" s="41"/>
      <c r="R13" s="41" t="s">
        <v>112</v>
      </c>
      <c r="S13" s="41"/>
    </row>
    <row r="14" spans="1:21" s="30" customFormat="1" ht="30" customHeight="1" thickTop="1" thickBot="1">
      <c r="A14" s="195">
        <f>C14-C13</f>
        <v>21</v>
      </c>
      <c r="B14" s="186">
        <v>9</v>
      </c>
      <c r="C14" s="207">
        <v>43009</v>
      </c>
      <c r="D14" s="202" t="s">
        <v>19</v>
      </c>
      <c r="E14" s="186"/>
      <c r="F14" s="190"/>
      <c r="G14" s="186"/>
      <c r="H14" s="186"/>
      <c r="I14" s="186"/>
      <c r="J14" s="186"/>
      <c r="K14" s="186"/>
      <c r="L14" s="186"/>
      <c r="M14" s="186"/>
      <c r="N14" s="188"/>
      <c r="O14" s="205" t="s">
        <v>28</v>
      </c>
      <c r="P14" s="41" t="s">
        <v>35</v>
      </c>
      <c r="Q14" s="41"/>
      <c r="R14" s="41"/>
      <c r="S14" s="41"/>
      <c r="T14" s="30" t="s">
        <v>20</v>
      </c>
    </row>
    <row r="15" spans="1:21" ht="14.25" thickTop="1" thickBot="1">
      <c r="A15" s="196"/>
      <c r="B15" s="46"/>
      <c r="C15" s="47"/>
      <c r="D15" s="48"/>
      <c r="E15" s="48"/>
      <c r="F15" s="49"/>
      <c r="G15" s="50" t="s">
        <v>66</v>
      </c>
      <c r="H15" s="49"/>
      <c r="I15" s="50" t="s">
        <v>67</v>
      </c>
      <c r="J15" s="48"/>
      <c r="K15" s="51"/>
      <c r="L15" s="51"/>
      <c r="M15" s="48"/>
      <c r="N15" s="48"/>
      <c r="O15" s="48"/>
      <c r="P15" s="48"/>
      <c r="Q15" s="48"/>
      <c r="R15" s="48"/>
      <c r="S15" s="48"/>
    </row>
    <row r="16" spans="1:21" ht="13.5" thickBot="1">
      <c r="A16" s="197"/>
      <c r="B16" s="48"/>
      <c r="C16" s="53"/>
      <c r="D16" s="48"/>
      <c r="E16" s="48"/>
      <c r="F16" s="49"/>
      <c r="G16" s="54" t="s">
        <v>20</v>
      </c>
      <c r="H16" s="49"/>
      <c r="I16" s="55" t="s">
        <v>20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</row>
    <row r="17" spans="1:19">
      <c r="A17" s="197"/>
      <c r="B17" s="48"/>
      <c r="C17" s="56"/>
      <c r="D17" s="48"/>
      <c r="E17" s="48"/>
      <c r="F17" s="49"/>
      <c r="G17" s="57" t="s">
        <v>23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>
      <c r="A18" s="197"/>
      <c r="B18" s="48"/>
      <c r="C18" s="56"/>
      <c r="D18" s="48"/>
      <c r="E18" s="48"/>
      <c r="F18" s="49"/>
      <c r="G18" s="57" t="s">
        <v>32</v>
      </c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>
      <c r="A19" s="197"/>
      <c r="B19" s="48"/>
      <c r="C19" s="56"/>
      <c r="D19" s="48"/>
      <c r="E19" s="48"/>
      <c r="F19" s="49"/>
      <c r="G19" s="58" t="s">
        <v>39</v>
      </c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</row>
    <row r="20" spans="1:19">
      <c r="A20" s="197"/>
      <c r="B20" s="48"/>
      <c r="C20" s="56"/>
      <c r="D20" s="48"/>
      <c r="E20" s="48"/>
      <c r="F20" s="49"/>
      <c r="G20" s="58" t="s">
        <v>22</v>
      </c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>
      <c r="A21" s="197"/>
      <c r="B21" s="48"/>
      <c r="C21" s="59"/>
      <c r="D21" s="48"/>
      <c r="E21" s="48"/>
      <c r="F21" s="48"/>
      <c r="G21" s="58" t="s">
        <v>27</v>
      </c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</row>
    <row r="22" spans="1:19">
      <c r="A22" s="197"/>
      <c r="B22" s="48"/>
      <c r="C22" s="59"/>
      <c r="D22" s="48"/>
      <c r="E22" s="48"/>
      <c r="F22" s="48"/>
      <c r="G22" s="58" t="s">
        <v>46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>
      <c r="A23" s="197"/>
      <c r="B23" s="48"/>
      <c r="C23" s="59"/>
      <c r="D23" s="48"/>
      <c r="E23" s="48"/>
      <c r="F23" s="48"/>
      <c r="G23" s="58" t="s">
        <v>44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>
      <c r="A24" s="197"/>
      <c r="B24" s="48"/>
      <c r="C24" s="59"/>
      <c r="D24" s="48"/>
      <c r="E24" s="48"/>
      <c r="F24" s="48"/>
      <c r="G24" s="60"/>
      <c r="H24" s="52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</row>
  </sheetData>
  <mergeCells count="3">
    <mergeCell ref="B1:G1"/>
    <mergeCell ref="I1:M1"/>
    <mergeCell ref="C2:G2"/>
  </mergeCells>
  <pageMargins left="0.39" right="0.41" top="1" bottom="1" header="0.5" footer="0.5"/>
  <pageSetup scale="69" orientation="landscape" r:id="rId1"/>
  <headerFooter>
    <oddHeader>&amp;F</oddHeader>
    <oddFooter>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4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5" sqref="L15:L18"/>
    </sheetView>
  </sheetViews>
  <sheetFormatPr defaultRowHeight="12.75"/>
  <cols>
    <col min="1" max="1" width="7.28515625" style="1" customWidth="1"/>
    <col min="2" max="2" width="25.28515625" style="2" customWidth="1"/>
    <col min="3" max="3" width="6.140625" style="1" customWidth="1"/>
    <col min="4" max="4" width="11" style="1" customWidth="1"/>
    <col min="5" max="5" width="10.85546875" style="1" customWidth="1"/>
    <col min="6" max="8" width="11" style="1" customWidth="1"/>
    <col min="9" max="9" width="11.28515625" style="1" customWidth="1"/>
    <col min="10" max="10" width="10.42578125" style="1" customWidth="1"/>
    <col min="11" max="11" width="11.28515625" style="1" customWidth="1"/>
    <col min="12" max="12" width="9.42578125" style="1" customWidth="1"/>
    <col min="13" max="13" width="8.42578125" style="1" customWidth="1"/>
    <col min="14" max="14" width="22.5703125" style="1" customWidth="1"/>
    <col min="15" max="15" width="11.5703125" style="1" customWidth="1"/>
    <col min="16" max="16384" width="9.140625" style="1"/>
  </cols>
  <sheetData>
    <row r="1" spans="1:15" s="3" customFormat="1" ht="17.25" thickTop="1" thickBot="1">
      <c r="A1" s="278" t="s">
        <v>0</v>
      </c>
      <c r="B1" s="279"/>
      <c r="C1" s="279"/>
      <c r="D1" s="279"/>
      <c r="E1" s="279"/>
      <c r="F1" s="280"/>
      <c r="G1" s="5"/>
      <c r="H1" s="281" t="s">
        <v>1</v>
      </c>
      <c r="I1" s="282"/>
      <c r="J1" s="282"/>
      <c r="K1" s="282"/>
      <c r="L1" s="283"/>
      <c r="M1" s="6"/>
    </row>
    <row r="2" spans="1:15" s="3" customFormat="1" ht="17.25" thickTop="1" thickBot="1">
      <c r="A2" s="9"/>
      <c r="B2" s="278" t="s">
        <v>2</v>
      </c>
      <c r="C2" s="279"/>
      <c r="D2" s="279"/>
      <c r="E2" s="279"/>
      <c r="F2" s="280"/>
      <c r="G2" s="10"/>
      <c r="H2" s="11"/>
      <c r="I2" s="10"/>
      <c r="J2" s="10"/>
      <c r="K2" s="10"/>
      <c r="L2" s="10"/>
      <c r="M2" s="12"/>
    </row>
    <row r="3" spans="1:15" s="2" customFormat="1" ht="39.75" thickTop="1" thickBot="1">
      <c r="A3" s="15" t="s">
        <v>4</v>
      </c>
      <c r="B3" s="15" t="s">
        <v>5</v>
      </c>
      <c r="C3" s="15" t="s">
        <v>107</v>
      </c>
      <c r="D3" s="16" t="s">
        <v>7</v>
      </c>
      <c r="E3" s="15" t="s">
        <v>8</v>
      </c>
      <c r="F3" s="15" t="s">
        <v>9</v>
      </c>
      <c r="G3" s="16" t="s">
        <v>10</v>
      </c>
      <c r="H3" s="15" t="s">
        <v>11</v>
      </c>
      <c r="I3" s="16" t="s">
        <v>12</v>
      </c>
      <c r="J3" s="15" t="s">
        <v>13</v>
      </c>
      <c r="K3" s="16" t="s">
        <v>14</v>
      </c>
      <c r="L3" s="16" t="s">
        <v>15</v>
      </c>
      <c r="M3" s="17" t="s">
        <v>16</v>
      </c>
      <c r="N3" s="18" t="s">
        <v>17</v>
      </c>
      <c r="O3" s="192" t="s">
        <v>118</v>
      </c>
    </row>
    <row r="4" spans="1:15" s="2" customFormat="1" ht="30" customHeight="1" thickTop="1" thickBot="1">
      <c r="A4" s="186">
        <v>1</v>
      </c>
      <c r="B4" s="207">
        <v>42848</v>
      </c>
      <c r="C4" s="202" t="s">
        <v>38</v>
      </c>
      <c r="D4" s="186" t="s">
        <v>20</v>
      </c>
      <c r="E4" s="186" t="s">
        <v>25</v>
      </c>
      <c r="F4" s="186" t="s">
        <v>20</v>
      </c>
      <c r="G4" s="186" t="s">
        <v>22</v>
      </c>
      <c r="H4" s="186" t="s">
        <v>91</v>
      </c>
      <c r="I4" s="186" t="s">
        <v>49</v>
      </c>
      <c r="J4" s="186" t="s">
        <v>56</v>
      </c>
      <c r="K4" s="213" t="s">
        <v>126</v>
      </c>
      <c r="L4" s="186" t="s">
        <v>27</v>
      </c>
      <c r="M4" s="188" t="s">
        <v>96</v>
      </c>
      <c r="N4" s="192" t="s">
        <v>120</v>
      </c>
    </row>
    <row r="5" spans="1:15" s="2" customFormat="1" ht="30" customHeight="1" thickTop="1" thickBot="1">
      <c r="A5" s="186">
        <v>2</v>
      </c>
      <c r="B5" s="207">
        <v>42862</v>
      </c>
      <c r="C5" s="202" t="s">
        <v>31</v>
      </c>
      <c r="D5" s="186" t="s">
        <v>20</v>
      </c>
      <c r="E5" s="186" t="s">
        <v>21</v>
      </c>
      <c r="F5" s="186" t="s">
        <v>39</v>
      </c>
      <c r="G5" s="186" t="s">
        <v>44</v>
      </c>
      <c r="H5" s="186" t="s">
        <v>91</v>
      </c>
      <c r="I5" s="213" t="s">
        <v>127</v>
      </c>
      <c r="J5" s="186" t="s">
        <v>22</v>
      </c>
      <c r="K5" s="186" t="s">
        <v>56</v>
      </c>
      <c r="L5" s="186" t="s">
        <v>27</v>
      </c>
      <c r="M5" s="188" t="s">
        <v>96</v>
      </c>
      <c r="N5" s="192" t="s">
        <v>122</v>
      </c>
    </row>
    <row r="6" spans="1:15" s="2" customFormat="1" ht="30" customHeight="1" thickTop="1" thickBot="1">
      <c r="A6" s="186" t="s">
        <v>113</v>
      </c>
      <c r="B6" s="211">
        <v>42882</v>
      </c>
      <c r="C6" s="212" t="s">
        <v>19</v>
      </c>
      <c r="D6" s="186" t="s">
        <v>27</v>
      </c>
      <c r="E6" s="186" t="s">
        <v>22</v>
      </c>
      <c r="F6" s="186" t="s">
        <v>27</v>
      </c>
      <c r="G6" s="215"/>
      <c r="H6" s="186" t="s">
        <v>20</v>
      </c>
      <c r="I6" s="186" t="s">
        <v>49</v>
      </c>
      <c r="J6" s="186" t="s">
        <v>56</v>
      </c>
      <c r="K6" s="186" t="s">
        <v>21</v>
      </c>
      <c r="L6" s="186" t="s">
        <v>20</v>
      </c>
      <c r="M6" s="188" t="s">
        <v>56</v>
      </c>
      <c r="N6" s="192" t="s">
        <v>124</v>
      </c>
      <c r="O6" s="192" t="s">
        <v>119</v>
      </c>
    </row>
    <row r="7" spans="1:15" s="2" customFormat="1" ht="30" customHeight="1" thickTop="1" thickBot="1">
      <c r="A7" s="186">
        <v>3</v>
      </c>
      <c r="B7" s="207">
        <v>42883</v>
      </c>
      <c r="C7" s="204" t="s">
        <v>19</v>
      </c>
      <c r="D7" s="186" t="s">
        <v>27</v>
      </c>
      <c r="E7" s="186" t="s">
        <v>56</v>
      </c>
      <c r="F7" s="215"/>
      <c r="G7" s="186" t="s">
        <v>32</v>
      </c>
      <c r="H7" s="186" t="s">
        <v>20</v>
      </c>
      <c r="I7" s="186" t="s">
        <v>115</v>
      </c>
      <c r="J7" s="186" t="s">
        <v>21</v>
      </c>
      <c r="K7" s="186" t="s">
        <v>56</v>
      </c>
      <c r="L7" s="186" t="s">
        <v>20</v>
      </c>
      <c r="M7" s="188" t="s">
        <v>56</v>
      </c>
      <c r="N7" s="192" t="s">
        <v>125</v>
      </c>
    </row>
    <row r="8" spans="1:15" s="2" customFormat="1" ht="30" customHeight="1" thickTop="1" thickBot="1">
      <c r="A8" s="186">
        <v>4</v>
      </c>
      <c r="B8" s="207">
        <v>42904</v>
      </c>
      <c r="C8" s="202" t="s">
        <v>19</v>
      </c>
      <c r="D8" s="186" t="s">
        <v>27</v>
      </c>
      <c r="E8" s="186" t="s">
        <v>115</v>
      </c>
      <c r="F8" s="186" t="s">
        <v>27</v>
      </c>
      <c r="G8" s="186" t="s">
        <v>46</v>
      </c>
      <c r="H8" s="186" t="s">
        <v>20</v>
      </c>
      <c r="I8" s="186" t="s">
        <v>49</v>
      </c>
      <c r="J8" s="186" t="s">
        <v>56</v>
      </c>
      <c r="K8" s="186" t="s">
        <v>26</v>
      </c>
      <c r="L8" s="186" t="s">
        <v>115</v>
      </c>
      <c r="M8" s="188" t="s">
        <v>115</v>
      </c>
      <c r="N8" s="192" t="s">
        <v>123</v>
      </c>
    </row>
    <row r="9" spans="1:15" s="2" customFormat="1" ht="30" customHeight="1" thickTop="1" thickBot="1">
      <c r="A9" s="186">
        <v>5</v>
      </c>
      <c r="B9" s="207">
        <v>42925</v>
      </c>
      <c r="C9" s="202" t="s">
        <v>31</v>
      </c>
      <c r="D9" s="186" t="s">
        <v>20</v>
      </c>
      <c r="E9" s="186" t="s">
        <v>46</v>
      </c>
      <c r="F9" s="186" t="s">
        <v>22</v>
      </c>
      <c r="G9" s="186" t="s">
        <v>27</v>
      </c>
      <c r="H9" s="186" t="s">
        <v>91</v>
      </c>
      <c r="I9" s="186" t="s">
        <v>115</v>
      </c>
      <c r="J9" s="186" t="s">
        <v>21</v>
      </c>
      <c r="K9" s="186" t="s">
        <v>56</v>
      </c>
      <c r="L9" s="186" t="s">
        <v>23</v>
      </c>
      <c r="M9" s="188" t="s">
        <v>96</v>
      </c>
      <c r="N9" s="192" t="s">
        <v>121</v>
      </c>
    </row>
    <row r="10" spans="1:15" s="2" customFormat="1" ht="30" customHeight="1" thickTop="1" thickBot="1">
      <c r="A10" s="186">
        <v>6</v>
      </c>
      <c r="B10" s="207">
        <v>42946</v>
      </c>
      <c r="C10" s="202" t="s">
        <v>31</v>
      </c>
      <c r="D10" s="186" t="s">
        <v>20</v>
      </c>
      <c r="E10" s="186" t="s">
        <v>29</v>
      </c>
      <c r="F10" s="186" t="s">
        <v>20</v>
      </c>
      <c r="G10" s="186" t="s">
        <v>32</v>
      </c>
      <c r="H10" s="186" t="s">
        <v>91</v>
      </c>
      <c r="I10" s="186" t="s">
        <v>49</v>
      </c>
      <c r="J10" s="186" t="s">
        <v>56</v>
      </c>
      <c r="K10" s="186" t="s">
        <v>26</v>
      </c>
      <c r="L10" s="213" t="s">
        <v>27</v>
      </c>
      <c r="M10" s="188" t="s">
        <v>96</v>
      </c>
    </row>
    <row r="11" spans="1:15" s="2" customFormat="1" ht="30" customHeight="1" thickTop="1" thickBot="1">
      <c r="A11" s="186">
        <v>7</v>
      </c>
      <c r="B11" s="207">
        <v>42967</v>
      </c>
      <c r="C11" s="202" t="s">
        <v>19</v>
      </c>
      <c r="D11" s="186" t="s">
        <v>27</v>
      </c>
      <c r="E11" s="186" t="s">
        <v>22</v>
      </c>
      <c r="F11" s="186" t="s">
        <v>46</v>
      </c>
      <c r="G11" s="215"/>
      <c r="H11" s="186" t="s">
        <v>20</v>
      </c>
      <c r="I11" s="186" t="s">
        <v>115</v>
      </c>
      <c r="J11" s="186" t="s">
        <v>29</v>
      </c>
      <c r="K11" s="186" t="s">
        <v>56</v>
      </c>
      <c r="L11" s="186" t="s">
        <v>20</v>
      </c>
      <c r="M11" s="188" t="s">
        <v>22</v>
      </c>
      <c r="N11" s="2" t="s">
        <v>23</v>
      </c>
    </row>
    <row r="12" spans="1:15" s="2" customFormat="1" ht="30" customHeight="1" thickTop="1" thickBot="1">
      <c r="A12" s="186" t="s">
        <v>113</v>
      </c>
      <c r="B12" s="208">
        <v>42981</v>
      </c>
      <c r="C12" s="186" t="s">
        <v>31</v>
      </c>
      <c r="D12" s="186" t="s">
        <v>20</v>
      </c>
      <c r="E12" s="186" t="s">
        <v>115</v>
      </c>
      <c r="F12" s="186" t="s">
        <v>20</v>
      </c>
      <c r="G12" s="186" t="s">
        <v>39</v>
      </c>
      <c r="H12" s="186" t="s">
        <v>91</v>
      </c>
      <c r="I12" s="186" t="s">
        <v>49</v>
      </c>
      <c r="J12" s="186" t="s">
        <v>56</v>
      </c>
      <c r="K12" s="186" t="s">
        <v>21</v>
      </c>
      <c r="L12" s="186" t="s">
        <v>115</v>
      </c>
      <c r="M12" s="188" t="s">
        <v>96</v>
      </c>
      <c r="O12" s="192" t="s">
        <v>117</v>
      </c>
    </row>
    <row r="13" spans="1:15" s="30" customFormat="1" ht="30" customHeight="1" thickTop="1" thickBot="1">
      <c r="A13" s="186">
        <v>8</v>
      </c>
      <c r="B13" s="207">
        <v>42988</v>
      </c>
      <c r="C13" s="202" t="s">
        <v>38</v>
      </c>
      <c r="D13" s="186" t="s">
        <v>20</v>
      </c>
      <c r="E13" s="213" t="s">
        <v>25</v>
      </c>
      <c r="F13" s="186" t="s">
        <v>44</v>
      </c>
      <c r="G13" s="186" t="s">
        <v>20</v>
      </c>
      <c r="H13" s="186" t="s">
        <v>91</v>
      </c>
      <c r="I13" s="186" t="s">
        <v>115</v>
      </c>
      <c r="J13" s="186" t="s">
        <v>29</v>
      </c>
      <c r="K13" s="186" t="s">
        <v>26</v>
      </c>
      <c r="L13" s="213" t="s">
        <v>25</v>
      </c>
      <c r="M13" s="188" t="s">
        <v>96</v>
      </c>
    </row>
    <row r="14" spans="1:15" s="30" customFormat="1" ht="30" customHeight="1" thickTop="1" thickBot="1">
      <c r="A14" s="186">
        <v>9</v>
      </c>
      <c r="B14" s="207">
        <v>43009</v>
      </c>
      <c r="C14" s="202" t="s">
        <v>19</v>
      </c>
      <c r="D14" s="186" t="s">
        <v>27</v>
      </c>
      <c r="E14" s="186" t="s">
        <v>21</v>
      </c>
      <c r="F14" s="186" t="s">
        <v>46</v>
      </c>
      <c r="G14" s="186" t="s">
        <v>44</v>
      </c>
      <c r="H14" s="186" t="s">
        <v>116</v>
      </c>
      <c r="I14" s="186" t="s">
        <v>49</v>
      </c>
      <c r="J14" s="186" t="s">
        <v>56</v>
      </c>
      <c r="K14" s="186" t="s">
        <v>25</v>
      </c>
      <c r="L14" s="186" t="s">
        <v>20</v>
      </c>
      <c r="M14" s="188" t="s">
        <v>21</v>
      </c>
      <c r="N14" s="30" t="s">
        <v>20</v>
      </c>
    </row>
    <row r="15" spans="1:15" ht="14.25" thickTop="1" thickBot="1">
      <c r="A15" s="46"/>
      <c r="B15" s="47"/>
      <c r="C15" s="48"/>
      <c r="D15" s="48"/>
      <c r="E15" s="49"/>
      <c r="F15" s="50" t="s">
        <v>66</v>
      </c>
      <c r="G15" s="49"/>
      <c r="H15" s="50" t="s">
        <v>67</v>
      </c>
      <c r="I15" s="48"/>
      <c r="J15" s="51"/>
      <c r="K15" s="51"/>
      <c r="L15" s="48" t="s">
        <v>27</v>
      </c>
      <c r="M15" s="48"/>
    </row>
    <row r="16" spans="1:15" ht="13.5" thickBot="1">
      <c r="A16" s="48"/>
      <c r="B16" s="53"/>
      <c r="C16" s="48"/>
      <c r="D16" s="48"/>
      <c r="E16" s="49"/>
      <c r="F16" s="54" t="s">
        <v>20</v>
      </c>
      <c r="G16" s="49">
        <f>COUNTIF(F$4:G$14,F16)</f>
        <v>4</v>
      </c>
      <c r="H16" s="55" t="s">
        <v>20</v>
      </c>
      <c r="I16" s="48"/>
      <c r="J16" s="48"/>
      <c r="K16" s="48"/>
      <c r="L16" s="48" t="s">
        <v>115</v>
      </c>
      <c r="M16" s="48"/>
    </row>
    <row r="17" spans="1:13">
      <c r="A17" s="48"/>
      <c r="B17" s="56"/>
      <c r="C17" s="48"/>
      <c r="D17" s="48"/>
      <c r="E17" s="49"/>
      <c r="F17" s="57" t="s">
        <v>23</v>
      </c>
      <c r="G17" s="49">
        <f t="shared" ref="G17:G23" si="0">COUNTIF(F$4:G$14,F17)</f>
        <v>0</v>
      </c>
      <c r="H17" s="48"/>
      <c r="I17" s="48"/>
      <c r="J17" s="48"/>
      <c r="K17" s="48"/>
      <c r="L17" s="48" t="s">
        <v>20</v>
      </c>
      <c r="M17" s="48"/>
    </row>
    <row r="18" spans="1:13">
      <c r="A18" s="48"/>
      <c r="B18" s="56"/>
      <c r="C18" s="48"/>
      <c r="D18" s="48"/>
      <c r="E18" s="49"/>
      <c r="F18" s="57" t="s">
        <v>32</v>
      </c>
      <c r="G18" s="49">
        <f t="shared" si="0"/>
        <v>2</v>
      </c>
      <c r="H18" s="48"/>
      <c r="I18" s="48"/>
      <c r="J18" s="48"/>
      <c r="K18" s="48"/>
      <c r="L18" s="48" t="s">
        <v>49</v>
      </c>
      <c r="M18" s="48"/>
    </row>
    <row r="19" spans="1:13">
      <c r="A19" s="48"/>
      <c r="B19" s="56"/>
      <c r="C19" s="48"/>
      <c r="D19" s="48"/>
      <c r="E19" s="49"/>
      <c r="F19" s="58" t="s">
        <v>39</v>
      </c>
      <c r="G19" s="49">
        <f t="shared" si="0"/>
        <v>2</v>
      </c>
      <c r="H19" s="48"/>
      <c r="I19" s="48"/>
      <c r="J19" s="48"/>
      <c r="K19" s="48"/>
      <c r="L19" s="214"/>
      <c r="M19" s="48"/>
    </row>
    <row r="20" spans="1:13">
      <c r="A20" s="48"/>
      <c r="B20" s="56"/>
      <c r="C20" s="48"/>
      <c r="D20" s="48"/>
      <c r="E20" s="49"/>
      <c r="F20" s="58" t="s">
        <v>22</v>
      </c>
      <c r="G20" s="49">
        <f t="shared" si="0"/>
        <v>2</v>
      </c>
      <c r="H20" s="48"/>
      <c r="I20" s="48"/>
      <c r="J20" s="48"/>
      <c r="K20" s="48"/>
      <c r="L20" s="48"/>
      <c r="M20" s="48"/>
    </row>
    <row r="21" spans="1:13">
      <c r="A21" s="48"/>
      <c r="B21" s="59"/>
      <c r="C21" s="48"/>
      <c r="D21" s="48"/>
      <c r="E21" s="48"/>
      <c r="F21" s="58" t="s">
        <v>27</v>
      </c>
      <c r="G21" s="49">
        <f t="shared" si="0"/>
        <v>3</v>
      </c>
      <c r="H21" s="48"/>
      <c r="I21" s="48"/>
      <c r="J21" s="48"/>
      <c r="K21" s="48"/>
      <c r="L21" s="48"/>
      <c r="M21" s="48"/>
    </row>
    <row r="22" spans="1:13">
      <c r="A22" s="48"/>
      <c r="B22" s="59"/>
      <c r="C22" s="48"/>
      <c r="D22" s="48"/>
      <c r="E22" s="48"/>
      <c r="F22" s="58" t="s">
        <v>46</v>
      </c>
      <c r="G22" s="49">
        <f t="shared" si="0"/>
        <v>3</v>
      </c>
      <c r="H22" s="48"/>
      <c r="I22" s="48"/>
      <c r="J22" s="48"/>
      <c r="K22" s="48"/>
      <c r="L22" s="48"/>
      <c r="M22" s="48"/>
    </row>
    <row r="23" spans="1:13">
      <c r="A23" s="48"/>
      <c r="B23" s="59"/>
      <c r="C23" s="48"/>
      <c r="D23" s="48"/>
      <c r="E23" s="48"/>
      <c r="F23" s="58" t="s">
        <v>44</v>
      </c>
      <c r="G23" s="49">
        <f t="shared" si="0"/>
        <v>3</v>
      </c>
      <c r="H23" s="48"/>
      <c r="I23" s="48"/>
      <c r="J23" s="48"/>
      <c r="K23" s="48"/>
      <c r="L23" s="48"/>
      <c r="M23" s="48"/>
    </row>
    <row r="24" spans="1:13">
      <c r="A24" s="48"/>
      <c r="B24" s="59"/>
      <c r="C24" s="48"/>
      <c r="D24" s="48"/>
      <c r="E24" s="48"/>
      <c r="F24" s="60"/>
      <c r="G24" s="52">
        <f>SUM(G16:G23)</f>
        <v>19</v>
      </c>
      <c r="H24" s="48"/>
      <c r="I24" s="48"/>
      <c r="J24" s="48"/>
      <c r="K24" s="48"/>
      <c r="L24" s="48"/>
      <c r="M24" s="48"/>
    </row>
  </sheetData>
  <mergeCells count="3">
    <mergeCell ref="A1:F1"/>
    <mergeCell ref="H1:L1"/>
    <mergeCell ref="B2:F2"/>
  </mergeCells>
  <pageMargins left="0.39" right="0.41" top="1" bottom="1" header="0.5" footer="0.5"/>
  <pageSetup scale="78" orientation="landscape" r:id="rId1"/>
  <headerFooter>
    <oddHeader>&amp;F</oddHeader>
    <oddFooter>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3"/>
  <sheetViews>
    <sheetView showGridLines="0" zoomScale="90" zoomScaleNormal="90" workbookViewId="0">
      <selection activeCell="C8" sqref="C8"/>
    </sheetView>
  </sheetViews>
  <sheetFormatPr defaultRowHeight="12.75"/>
  <cols>
    <col min="1" max="1" width="9.140625" style="198"/>
    <col min="2" max="2" width="5.85546875" style="1" customWidth="1"/>
    <col min="3" max="3" width="25.28515625" style="2" customWidth="1"/>
    <col min="4" max="4" width="6.140625" style="1" customWidth="1"/>
    <col min="5" max="5" width="11" style="1" customWidth="1"/>
    <col min="6" max="6" width="10.85546875" style="1" customWidth="1"/>
    <col min="7" max="9" width="11" style="1" customWidth="1"/>
    <col min="10" max="10" width="11.28515625" style="1" customWidth="1"/>
    <col min="11" max="11" width="10.42578125" style="1" customWidth="1"/>
    <col min="12" max="12" width="11.28515625" style="1" customWidth="1"/>
    <col min="13" max="13" width="11" style="1" customWidth="1"/>
    <col min="14" max="14" width="8.42578125" style="1" customWidth="1"/>
    <col min="15" max="19" width="6.7109375" style="1" customWidth="1"/>
    <col min="20" max="20" width="22.5703125" style="1" customWidth="1"/>
    <col min="21" max="16384" width="9.140625" style="1"/>
  </cols>
  <sheetData>
    <row r="1" spans="1:20" ht="26.25" thickBot="1">
      <c r="A1" s="199"/>
      <c r="B1" s="200"/>
      <c r="C1" s="209" t="s">
        <v>106</v>
      </c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  <c r="P1" s="201"/>
      <c r="Q1" s="201"/>
      <c r="R1" s="201"/>
      <c r="S1" s="201"/>
    </row>
    <row r="2" spans="1:20" s="3" customFormat="1" ht="17.25" thickTop="1" thickBot="1">
      <c r="A2" s="193"/>
      <c r="B2" s="278" t="s">
        <v>0</v>
      </c>
      <c r="C2" s="279"/>
      <c r="D2" s="279"/>
      <c r="E2" s="279"/>
      <c r="F2" s="279"/>
      <c r="G2" s="280"/>
      <c r="H2" s="5"/>
      <c r="I2" s="281" t="s">
        <v>1</v>
      </c>
      <c r="J2" s="282"/>
      <c r="K2" s="282"/>
      <c r="L2" s="282"/>
      <c r="M2" s="283"/>
      <c r="N2" s="6"/>
      <c r="O2" s="7"/>
      <c r="P2" s="7"/>
      <c r="Q2" s="7"/>
      <c r="R2" s="7"/>
      <c r="S2" s="7"/>
    </row>
    <row r="3" spans="1:20" s="3" customFormat="1" ht="17.25" thickTop="1" thickBot="1">
      <c r="A3" s="194"/>
      <c r="B3" s="9"/>
      <c r="C3" s="278" t="s">
        <v>2</v>
      </c>
      <c r="D3" s="279"/>
      <c r="E3" s="279"/>
      <c r="F3" s="279"/>
      <c r="G3" s="280"/>
      <c r="H3" s="10"/>
      <c r="I3" s="11"/>
      <c r="J3" s="10"/>
      <c r="K3" s="10"/>
      <c r="L3" s="10"/>
      <c r="M3" s="10"/>
      <c r="N3" s="12"/>
      <c r="O3" s="13"/>
      <c r="P3" s="13"/>
      <c r="Q3" s="13"/>
      <c r="R3" s="13"/>
      <c r="S3" s="13"/>
    </row>
    <row r="4" spans="1:20" s="2" customFormat="1" ht="39.75" thickTop="1" thickBot="1">
      <c r="A4" s="195" t="s">
        <v>3</v>
      </c>
      <c r="B4" s="15" t="s">
        <v>4</v>
      </c>
      <c r="C4" s="15" t="s">
        <v>5</v>
      </c>
      <c r="D4" s="15" t="s">
        <v>107</v>
      </c>
      <c r="E4" s="16" t="s">
        <v>7</v>
      </c>
      <c r="F4" s="15" t="s">
        <v>8</v>
      </c>
      <c r="G4" s="15" t="s">
        <v>9</v>
      </c>
      <c r="H4" s="16" t="s">
        <v>10</v>
      </c>
      <c r="I4" s="15" t="s">
        <v>11</v>
      </c>
      <c r="J4" s="16" t="s">
        <v>12</v>
      </c>
      <c r="K4" s="15" t="s">
        <v>13</v>
      </c>
      <c r="L4" s="16" t="s">
        <v>14</v>
      </c>
      <c r="M4" s="16" t="s">
        <v>15</v>
      </c>
      <c r="N4" s="17" t="s">
        <v>16</v>
      </c>
      <c r="O4" s="192" t="s">
        <v>108</v>
      </c>
      <c r="P4" s="192" t="s">
        <v>109</v>
      </c>
      <c r="Q4" s="192" t="s">
        <v>110</v>
      </c>
      <c r="R4" s="192" t="s">
        <v>111</v>
      </c>
      <c r="S4" s="192" t="s">
        <v>55</v>
      </c>
      <c r="T4" s="18" t="s">
        <v>17</v>
      </c>
    </row>
    <row r="5" spans="1:20" s="2" customFormat="1" ht="30" customHeight="1" thickTop="1" thickBot="1">
      <c r="A5" s="195"/>
      <c r="B5" s="186">
        <v>1</v>
      </c>
      <c r="C5" s="207">
        <v>42848</v>
      </c>
      <c r="D5" s="202" t="s">
        <v>38</v>
      </c>
      <c r="E5" s="186"/>
      <c r="F5" s="186"/>
      <c r="G5" s="186"/>
      <c r="H5" s="186"/>
      <c r="I5" s="186"/>
      <c r="J5" s="186"/>
      <c r="K5" s="186"/>
      <c r="L5" s="186"/>
      <c r="M5" s="186"/>
      <c r="N5" s="188"/>
      <c r="O5" s="23" t="s">
        <v>35</v>
      </c>
      <c r="P5" s="23"/>
      <c r="Q5" s="23"/>
      <c r="R5" s="23" t="s">
        <v>112</v>
      </c>
      <c r="S5" s="23"/>
    </row>
    <row r="6" spans="1:20" s="2" customFormat="1" ht="30" customHeight="1" thickTop="1" thickBot="1">
      <c r="A6" s="195">
        <f>C6-C5</f>
        <v>14</v>
      </c>
      <c r="B6" s="186">
        <v>2</v>
      </c>
      <c r="C6" s="207">
        <v>42862</v>
      </c>
      <c r="D6" s="202" t="s">
        <v>31</v>
      </c>
      <c r="E6" s="186"/>
      <c r="F6" s="186"/>
      <c r="G6" s="186"/>
      <c r="H6" s="186"/>
      <c r="I6" s="186"/>
      <c r="J6" s="186"/>
      <c r="K6" s="186"/>
      <c r="L6" s="186"/>
      <c r="M6" s="186"/>
      <c r="N6" s="188"/>
      <c r="O6" s="27" t="s">
        <v>35</v>
      </c>
      <c r="P6" s="203" t="s">
        <v>28</v>
      </c>
      <c r="Q6" s="27"/>
      <c r="R6" s="27"/>
      <c r="S6" s="27"/>
    </row>
    <row r="7" spans="1:20" s="2" customFormat="1" ht="30" customHeight="1" thickTop="1" thickBot="1">
      <c r="A7" s="195"/>
      <c r="B7" s="186"/>
      <c r="C7" s="187">
        <v>42869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8"/>
      <c r="O7" s="27" t="s">
        <v>35</v>
      </c>
      <c r="P7" s="203" t="s">
        <v>28</v>
      </c>
      <c r="Q7" s="27"/>
      <c r="R7" s="27"/>
      <c r="S7" s="27"/>
      <c r="T7" s="192" t="s">
        <v>20</v>
      </c>
    </row>
    <row r="8" spans="1:20" s="2" customFormat="1" ht="30" customHeight="1" thickTop="1" thickBot="1">
      <c r="A8" s="195"/>
      <c r="B8" s="186"/>
      <c r="C8" s="187">
        <v>42882</v>
      </c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8"/>
      <c r="O8" s="203" t="s">
        <v>28</v>
      </c>
      <c r="P8" s="27" t="s">
        <v>35</v>
      </c>
      <c r="Q8" s="27"/>
      <c r="R8" s="27"/>
      <c r="S8" s="27"/>
      <c r="T8" s="192"/>
    </row>
    <row r="9" spans="1:20" s="2" customFormat="1" ht="30" customHeight="1" thickTop="1" thickBot="1">
      <c r="A9" s="195">
        <f>C9-C6</f>
        <v>21</v>
      </c>
      <c r="B9" s="186">
        <v>3</v>
      </c>
      <c r="C9" s="207">
        <v>42883</v>
      </c>
      <c r="D9" s="204" t="s">
        <v>19</v>
      </c>
      <c r="E9" s="186"/>
      <c r="F9" s="186"/>
      <c r="G9" s="186"/>
      <c r="H9" s="186"/>
      <c r="I9" s="186"/>
      <c r="J9" s="186"/>
      <c r="K9" s="186"/>
      <c r="L9" s="186"/>
      <c r="M9" s="186"/>
      <c r="N9" s="188"/>
      <c r="O9" s="203" t="s">
        <v>28</v>
      </c>
      <c r="P9" s="203" t="s">
        <v>28</v>
      </c>
      <c r="Q9" s="27"/>
      <c r="R9" s="27"/>
      <c r="S9" s="27"/>
    </row>
    <row r="10" spans="1:20" s="2" customFormat="1" ht="30" customHeight="1" thickTop="1" thickBot="1">
      <c r="A10" s="195"/>
      <c r="B10" s="186"/>
      <c r="C10" s="187">
        <v>42884</v>
      </c>
      <c r="D10" s="189"/>
      <c r="E10" s="186"/>
      <c r="F10" s="186"/>
      <c r="G10" s="186"/>
      <c r="H10" s="186"/>
      <c r="I10" s="186"/>
      <c r="J10" s="186"/>
      <c r="K10" s="186"/>
      <c r="L10" s="186"/>
      <c r="M10" s="186"/>
      <c r="N10" s="188"/>
      <c r="O10" s="203" t="s">
        <v>28</v>
      </c>
      <c r="P10" s="27" t="s">
        <v>35</v>
      </c>
      <c r="Q10" s="27"/>
      <c r="R10" s="27"/>
      <c r="S10" s="27"/>
    </row>
    <row r="11" spans="1:20" s="2" customFormat="1" ht="30" customHeight="1" thickTop="1" thickBot="1">
      <c r="A11" s="195"/>
      <c r="B11" s="186"/>
      <c r="C11" s="187">
        <v>42890</v>
      </c>
      <c r="D11" s="189"/>
      <c r="E11" s="186"/>
      <c r="F11" s="186"/>
      <c r="G11" s="186"/>
      <c r="H11" s="186"/>
      <c r="I11" s="186"/>
      <c r="J11" s="186"/>
      <c r="K11" s="186"/>
      <c r="L11" s="186"/>
      <c r="M11" s="186"/>
      <c r="N11" s="188"/>
      <c r="O11" s="27" t="s">
        <v>35</v>
      </c>
      <c r="P11" s="203" t="s">
        <v>28</v>
      </c>
      <c r="Q11" s="27"/>
      <c r="R11" s="27"/>
      <c r="S11" s="27"/>
    </row>
    <row r="12" spans="1:20" s="2" customFormat="1" ht="30" customHeight="1" thickTop="1" thickBot="1">
      <c r="A12" s="195"/>
      <c r="B12" s="186"/>
      <c r="C12" s="187">
        <v>42897</v>
      </c>
      <c r="D12" s="189"/>
      <c r="E12" s="186"/>
      <c r="F12" s="186"/>
      <c r="G12" s="186"/>
      <c r="H12" s="186"/>
      <c r="I12" s="186"/>
      <c r="J12" s="186"/>
      <c r="K12" s="186"/>
      <c r="L12" s="186"/>
      <c r="M12" s="186"/>
      <c r="N12" s="188"/>
      <c r="O12" s="27" t="s">
        <v>35</v>
      </c>
      <c r="P12" s="203" t="s">
        <v>28</v>
      </c>
      <c r="Q12" s="27"/>
      <c r="R12" s="27"/>
      <c r="S12" s="27"/>
    </row>
    <row r="13" spans="1:20" s="2" customFormat="1" ht="30" customHeight="1" thickTop="1" thickBot="1">
      <c r="A13" s="195">
        <f>C13-C9</f>
        <v>21</v>
      </c>
      <c r="B13" s="186">
        <v>4</v>
      </c>
      <c r="C13" s="207">
        <v>42904</v>
      </c>
      <c r="D13" s="202" t="s">
        <v>19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8"/>
      <c r="O13" s="203" t="s">
        <v>28</v>
      </c>
      <c r="P13" s="203" t="s">
        <v>28</v>
      </c>
      <c r="Q13" s="27"/>
      <c r="R13" s="27"/>
      <c r="S13" s="27"/>
    </row>
    <row r="14" spans="1:20" s="2" customFormat="1" ht="30" customHeight="1" thickTop="1" thickBot="1">
      <c r="A14" s="195"/>
      <c r="B14" s="186"/>
      <c r="C14" s="187">
        <v>42917</v>
      </c>
      <c r="D14" s="189"/>
      <c r="E14" s="186"/>
      <c r="F14" s="186"/>
      <c r="G14" s="186"/>
      <c r="H14" s="186"/>
      <c r="I14" s="186"/>
      <c r="J14" s="186"/>
      <c r="K14" s="186"/>
      <c r="L14" s="186"/>
      <c r="M14" s="186"/>
      <c r="N14" s="188"/>
      <c r="O14" s="203" t="s">
        <v>28</v>
      </c>
      <c r="P14" s="203" t="s">
        <v>28</v>
      </c>
      <c r="Q14" s="27"/>
      <c r="R14" s="27"/>
      <c r="S14" s="27"/>
    </row>
    <row r="15" spans="1:20" s="2" customFormat="1" ht="30" customHeight="1" thickTop="1" thickBot="1">
      <c r="A15" s="195"/>
      <c r="B15" s="186"/>
      <c r="C15" s="187">
        <v>42918</v>
      </c>
      <c r="D15" s="189"/>
      <c r="E15" s="186"/>
      <c r="F15" s="186"/>
      <c r="G15" s="186"/>
      <c r="H15" s="186"/>
      <c r="I15" s="186"/>
      <c r="J15" s="186"/>
      <c r="K15" s="186"/>
      <c r="L15" s="186"/>
      <c r="M15" s="186"/>
      <c r="N15" s="188"/>
      <c r="O15" s="203" t="s">
        <v>28</v>
      </c>
      <c r="P15" s="203" t="s">
        <v>28</v>
      </c>
      <c r="Q15" s="27"/>
      <c r="R15" s="27"/>
      <c r="S15" s="27"/>
    </row>
    <row r="16" spans="1:20" s="2" customFormat="1" ht="30" customHeight="1" thickTop="1" thickBot="1">
      <c r="A16" s="195">
        <f>C16-C13</f>
        <v>21</v>
      </c>
      <c r="B16" s="186">
        <v>5</v>
      </c>
      <c r="C16" s="207">
        <v>42925</v>
      </c>
      <c r="D16" s="202" t="s">
        <v>31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8"/>
      <c r="O16" s="32" t="s">
        <v>35</v>
      </c>
      <c r="P16" s="206" t="s">
        <v>28</v>
      </c>
      <c r="Q16" s="32"/>
      <c r="R16" s="32"/>
      <c r="S16" s="32"/>
      <c r="T16" s="192" t="s">
        <v>20</v>
      </c>
    </row>
    <row r="17" spans="1:21" s="2" customFormat="1" ht="30" customHeight="1" thickTop="1" thickBot="1">
      <c r="A17" s="195"/>
      <c r="B17" s="186"/>
      <c r="C17" s="187">
        <v>42931</v>
      </c>
      <c r="D17" s="189"/>
      <c r="E17" s="186"/>
      <c r="F17" s="186"/>
      <c r="G17" s="186"/>
      <c r="H17" s="186"/>
      <c r="I17" s="186"/>
      <c r="J17" s="186"/>
      <c r="K17" s="186"/>
      <c r="L17" s="186"/>
      <c r="M17" s="186"/>
      <c r="N17" s="188"/>
      <c r="O17" s="203" t="s">
        <v>28</v>
      </c>
      <c r="P17" s="27" t="s">
        <v>35</v>
      </c>
      <c r="Q17" s="27"/>
      <c r="R17" s="27"/>
      <c r="S17" s="27"/>
    </row>
    <row r="18" spans="1:21" s="2" customFormat="1" ht="30" customHeight="1" thickTop="1" thickBot="1">
      <c r="A18" s="195"/>
      <c r="B18" s="186"/>
      <c r="C18" s="187">
        <v>42932</v>
      </c>
      <c r="D18" s="189"/>
      <c r="E18" s="186"/>
      <c r="F18" s="186"/>
      <c r="G18" s="186"/>
      <c r="H18" s="186"/>
      <c r="I18" s="186"/>
      <c r="J18" s="186"/>
      <c r="K18" s="186"/>
      <c r="L18" s="186"/>
      <c r="M18" s="186"/>
      <c r="N18" s="188"/>
      <c r="O18" s="203" t="s">
        <v>28</v>
      </c>
      <c r="P18" s="27" t="s">
        <v>35</v>
      </c>
      <c r="Q18" s="27"/>
      <c r="R18" s="27"/>
      <c r="S18" s="27"/>
    </row>
    <row r="19" spans="1:21" s="2" customFormat="1" ht="30" customHeight="1" thickTop="1" thickBot="1">
      <c r="A19" s="195">
        <f>C19-C16</f>
        <v>21</v>
      </c>
      <c r="B19" s="186">
        <v>6</v>
      </c>
      <c r="C19" s="207">
        <v>42946</v>
      </c>
      <c r="D19" s="202" t="s">
        <v>31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8"/>
      <c r="O19" s="27" t="s">
        <v>35</v>
      </c>
      <c r="P19" s="203" t="s">
        <v>28</v>
      </c>
      <c r="Q19" s="27"/>
      <c r="R19" s="27"/>
      <c r="S19" s="27"/>
    </row>
    <row r="20" spans="1:21" s="2" customFormat="1" ht="30" customHeight="1" thickTop="1" thickBot="1">
      <c r="A20" s="195"/>
      <c r="B20" s="186"/>
      <c r="C20" s="187">
        <v>42953</v>
      </c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8"/>
      <c r="O20" s="27" t="s">
        <v>35</v>
      </c>
      <c r="P20" s="203" t="s">
        <v>28</v>
      </c>
      <c r="Q20" s="27"/>
      <c r="R20" s="27"/>
      <c r="S20" s="27"/>
    </row>
    <row r="21" spans="1:21" s="2" customFormat="1" ht="30" customHeight="1" thickTop="1" thickBot="1">
      <c r="A21" s="195"/>
      <c r="B21" s="186"/>
      <c r="C21" s="187">
        <v>42960</v>
      </c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8"/>
      <c r="O21" s="27" t="s">
        <v>35</v>
      </c>
      <c r="P21" s="203" t="s">
        <v>28</v>
      </c>
      <c r="Q21" s="27"/>
      <c r="R21" s="27"/>
      <c r="S21" s="27"/>
    </row>
    <row r="22" spans="1:21" s="2" customFormat="1" ht="30" customHeight="1" thickTop="1" thickBot="1">
      <c r="A22" s="195"/>
      <c r="B22" s="186"/>
      <c r="C22" s="187">
        <v>42966</v>
      </c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8"/>
      <c r="O22" s="203" t="s">
        <v>28</v>
      </c>
      <c r="P22" s="27" t="s">
        <v>35</v>
      </c>
      <c r="Q22" s="27"/>
      <c r="R22" s="27"/>
      <c r="S22" s="27"/>
    </row>
    <row r="23" spans="1:21" s="2" customFormat="1" ht="30" customHeight="1" thickTop="1" thickBot="1">
      <c r="A23" s="195">
        <f>C23-C19</f>
        <v>21</v>
      </c>
      <c r="B23" s="186">
        <v>7</v>
      </c>
      <c r="C23" s="207">
        <v>42967</v>
      </c>
      <c r="D23" s="202" t="s">
        <v>19</v>
      </c>
      <c r="E23" s="186"/>
      <c r="F23" s="186"/>
      <c r="G23" s="186"/>
      <c r="H23" s="186"/>
      <c r="I23" s="186"/>
      <c r="J23" s="186"/>
      <c r="K23" s="186"/>
      <c r="L23" s="186"/>
      <c r="M23" s="186"/>
      <c r="N23" s="188"/>
      <c r="O23" s="203" t="s">
        <v>28</v>
      </c>
      <c r="P23" s="27" t="s">
        <v>35</v>
      </c>
      <c r="Q23" s="27"/>
      <c r="R23" s="27"/>
      <c r="S23" s="27"/>
    </row>
    <row r="24" spans="1:21" s="2" customFormat="1" ht="30" customHeight="1" thickTop="1" thickBot="1">
      <c r="A24" s="195"/>
      <c r="B24" s="186"/>
      <c r="C24" s="187">
        <v>42980</v>
      </c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8"/>
      <c r="O24" s="203" t="s">
        <v>28</v>
      </c>
      <c r="P24" s="27" t="s">
        <v>35</v>
      </c>
      <c r="Q24" s="27"/>
      <c r="R24" s="27"/>
      <c r="S24" s="27"/>
      <c r="U24" s="192"/>
    </row>
    <row r="25" spans="1:21" s="2" customFormat="1" ht="30" customHeight="1" thickTop="1" thickBot="1">
      <c r="A25" s="195"/>
      <c r="B25" s="186"/>
      <c r="C25" s="210">
        <v>42981</v>
      </c>
      <c r="D25" s="186" t="s">
        <v>31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8"/>
      <c r="O25" s="203" t="s">
        <v>28</v>
      </c>
      <c r="P25" s="203" t="s">
        <v>28</v>
      </c>
      <c r="Q25" s="27"/>
      <c r="R25" s="27"/>
      <c r="S25" s="27"/>
      <c r="U25" s="192" t="s">
        <v>105</v>
      </c>
    </row>
    <row r="26" spans="1:21" s="2" customFormat="1" ht="30" customHeight="1" thickTop="1" thickBot="1">
      <c r="A26" s="195"/>
      <c r="B26" s="186"/>
      <c r="C26" s="187">
        <v>42982</v>
      </c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8"/>
      <c r="O26" s="203" t="s">
        <v>28</v>
      </c>
      <c r="P26" s="203" t="s">
        <v>28</v>
      </c>
      <c r="Q26" s="27"/>
      <c r="R26" s="27"/>
      <c r="S26" s="27"/>
      <c r="U26" s="192"/>
    </row>
    <row r="27" spans="1:21" s="30" customFormat="1" ht="30" customHeight="1" thickTop="1" thickBot="1">
      <c r="A27" s="195">
        <f>C27-C23</f>
        <v>21</v>
      </c>
      <c r="B27" s="186">
        <v>8</v>
      </c>
      <c r="C27" s="207">
        <v>42988</v>
      </c>
      <c r="D27" s="202" t="s">
        <v>38</v>
      </c>
      <c r="E27" s="186"/>
      <c r="F27" s="186"/>
      <c r="G27" s="186"/>
      <c r="H27" s="186"/>
      <c r="I27" s="186"/>
      <c r="J27" s="186"/>
      <c r="K27" s="186"/>
      <c r="L27" s="186"/>
      <c r="M27" s="186"/>
      <c r="N27" s="188"/>
      <c r="O27" s="41" t="s">
        <v>35</v>
      </c>
      <c r="P27" s="203" t="s">
        <v>28</v>
      </c>
      <c r="Q27" s="41"/>
      <c r="R27" s="41" t="s">
        <v>112</v>
      </c>
      <c r="S27" s="41"/>
    </row>
    <row r="28" spans="1:21" s="30" customFormat="1" ht="30" customHeight="1" thickTop="1" thickBot="1">
      <c r="A28" s="195"/>
      <c r="B28" s="186"/>
      <c r="C28" s="187">
        <v>42995</v>
      </c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8"/>
      <c r="O28" s="41" t="s">
        <v>35</v>
      </c>
      <c r="P28" s="205" t="s">
        <v>28</v>
      </c>
      <c r="Q28" s="41"/>
      <c r="R28" s="41"/>
      <c r="S28" s="41"/>
    </row>
    <row r="29" spans="1:21" s="30" customFormat="1" ht="30" customHeight="1" thickTop="1" thickBot="1">
      <c r="A29" s="195">
        <f>C29-C27</f>
        <v>21</v>
      </c>
      <c r="B29" s="186">
        <v>9</v>
      </c>
      <c r="C29" s="207">
        <v>43009</v>
      </c>
      <c r="D29" s="202" t="s">
        <v>19</v>
      </c>
      <c r="E29" s="186"/>
      <c r="F29" s="190"/>
      <c r="G29" s="186"/>
      <c r="H29" s="186"/>
      <c r="I29" s="186"/>
      <c r="J29" s="186"/>
      <c r="K29" s="186"/>
      <c r="L29" s="186"/>
      <c r="M29" s="186"/>
      <c r="N29" s="188"/>
      <c r="O29" s="205" t="s">
        <v>28</v>
      </c>
      <c r="P29" s="41"/>
      <c r="Q29" s="41"/>
      <c r="R29" s="41"/>
      <c r="S29" s="41"/>
      <c r="T29" s="30" t="s">
        <v>20</v>
      </c>
    </row>
    <row r="30" spans="1:21" s="2" customFormat="1" ht="30" customHeight="1" thickTop="1" thickBot="1">
      <c r="A30" s="195"/>
      <c r="B30" s="186"/>
      <c r="C30" s="187">
        <v>43016</v>
      </c>
      <c r="D30" s="186"/>
      <c r="E30" s="186"/>
      <c r="F30" s="191"/>
      <c r="G30" s="186"/>
      <c r="H30" s="186"/>
      <c r="I30" s="186"/>
      <c r="J30" s="190"/>
      <c r="K30" s="186"/>
      <c r="L30" s="186"/>
      <c r="M30" s="186"/>
      <c r="N30" s="188"/>
      <c r="O30" s="27"/>
      <c r="P30" s="203" t="s">
        <v>28</v>
      </c>
      <c r="Q30" s="27"/>
      <c r="R30" s="27"/>
      <c r="S30" s="27"/>
    </row>
    <row r="31" spans="1:21" s="2" customFormat="1" ht="30" customHeight="1" thickTop="1" thickBot="1">
      <c r="A31" s="195"/>
      <c r="B31" s="186"/>
      <c r="C31" s="187">
        <v>43037</v>
      </c>
      <c r="D31" s="186"/>
      <c r="E31" s="186"/>
      <c r="F31" s="191"/>
      <c r="G31" s="186"/>
      <c r="H31" s="186"/>
      <c r="I31" s="186"/>
      <c r="J31" s="186"/>
      <c r="K31" s="186"/>
      <c r="L31" s="186"/>
      <c r="M31" s="186"/>
      <c r="N31" s="188"/>
      <c r="O31" s="27"/>
      <c r="P31" s="203" t="s">
        <v>28</v>
      </c>
      <c r="Q31" s="27"/>
      <c r="R31" s="27"/>
      <c r="S31" s="27"/>
    </row>
    <row r="32" spans="1:21" s="2" customFormat="1" ht="30" customHeight="1" thickTop="1" thickBot="1">
      <c r="A32" s="195"/>
      <c r="B32" s="186"/>
      <c r="C32" s="187"/>
      <c r="D32" s="186"/>
      <c r="E32" s="186"/>
      <c r="F32" s="186"/>
      <c r="G32" s="191"/>
      <c r="H32" s="186"/>
      <c r="I32" s="186"/>
      <c r="J32" s="186"/>
      <c r="K32" s="186"/>
      <c r="L32" s="186"/>
      <c r="M32" s="186"/>
      <c r="N32" s="188"/>
      <c r="O32" s="27"/>
      <c r="P32" s="27"/>
      <c r="Q32" s="27"/>
      <c r="R32" s="27"/>
      <c r="S32" s="27"/>
    </row>
    <row r="33" spans="1:19" s="2" customFormat="1" ht="30" customHeight="1" thickTop="1" thickBot="1">
      <c r="A33" s="195"/>
      <c r="B33" s="186"/>
      <c r="C33" s="187"/>
      <c r="D33" s="186"/>
      <c r="E33" s="186"/>
      <c r="F33" s="186"/>
      <c r="G33" s="191"/>
      <c r="H33" s="191"/>
      <c r="I33" s="186"/>
      <c r="J33" s="186"/>
      <c r="K33" s="186"/>
      <c r="L33" s="186"/>
      <c r="M33" s="186"/>
      <c r="N33" s="188"/>
      <c r="O33" s="27"/>
      <c r="P33" s="27"/>
      <c r="Q33" s="27"/>
      <c r="R33" s="27"/>
      <c r="S33" s="27"/>
    </row>
    <row r="34" spans="1:19" ht="14.25" thickTop="1" thickBot="1">
      <c r="A34" s="196"/>
      <c r="B34" s="46"/>
      <c r="C34" s="47"/>
      <c r="D34" s="48"/>
      <c r="E34" s="48"/>
      <c r="F34" s="49"/>
      <c r="G34" s="50" t="s">
        <v>66</v>
      </c>
      <c r="H34" s="49"/>
      <c r="I34" s="50" t="s">
        <v>67</v>
      </c>
      <c r="J34" s="48"/>
      <c r="K34" s="51"/>
      <c r="L34" s="51"/>
      <c r="M34" s="48"/>
      <c r="N34" s="48"/>
      <c r="O34" s="48"/>
      <c r="P34" s="48"/>
      <c r="Q34" s="48"/>
      <c r="R34" s="48"/>
      <c r="S34" s="48"/>
    </row>
    <row r="35" spans="1:19" ht="13.5" thickBot="1">
      <c r="A35" s="197"/>
      <c r="B35" s="48"/>
      <c r="C35" s="53"/>
      <c r="D35" s="48"/>
      <c r="E35" s="48"/>
      <c r="F35" s="49"/>
      <c r="G35" s="54" t="s">
        <v>20</v>
      </c>
      <c r="H35" s="49"/>
      <c r="I35" s="55" t="s">
        <v>20</v>
      </c>
      <c r="J35" s="48"/>
      <c r="K35" s="48"/>
      <c r="L35" s="48"/>
      <c r="M35" s="48"/>
      <c r="N35" s="48"/>
      <c r="O35" s="48"/>
      <c r="P35" s="48"/>
      <c r="Q35" s="48"/>
      <c r="R35" s="48"/>
      <c r="S35" s="48"/>
    </row>
    <row r="36" spans="1:19">
      <c r="A36" s="197"/>
      <c r="B36" s="48"/>
      <c r="C36" s="56"/>
      <c r="D36" s="48"/>
      <c r="E36" s="48"/>
      <c r="F36" s="49"/>
      <c r="G36" s="57" t="s">
        <v>23</v>
      </c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</row>
    <row r="37" spans="1:19">
      <c r="A37" s="197"/>
      <c r="B37" s="48"/>
      <c r="C37" s="56"/>
      <c r="D37" s="48"/>
      <c r="E37" s="48"/>
      <c r="F37" s="49"/>
      <c r="G37" s="57" t="s">
        <v>32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>
      <c r="A38" s="197"/>
      <c r="B38" s="48"/>
      <c r="C38" s="56"/>
      <c r="D38" s="48"/>
      <c r="E38" s="48"/>
      <c r="F38" s="49"/>
      <c r="G38" s="58" t="s">
        <v>39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>
      <c r="A39" s="197"/>
      <c r="B39" s="48"/>
      <c r="C39" s="56"/>
      <c r="D39" s="48"/>
      <c r="E39" s="48"/>
      <c r="F39" s="49"/>
      <c r="G39" s="58" t="s">
        <v>22</v>
      </c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>
      <c r="A40" s="197"/>
      <c r="B40" s="48"/>
      <c r="C40" s="59"/>
      <c r="D40" s="48"/>
      <c r="E40" s="48"/>
      <c r="F40" s="48"/>
      <c r="G40" s="58" t="s">
        <v>27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>
      <c r="A41" s="197"/>
      <c r="B41" s="48"/>
      <c r="C41" s="59"/>
      <c r="D41" s="48"/>
      <c r="E41" s="48"/>
      <c r="F41" s="48"/>
      <c r="G41" s="58" t="s">
        <v>46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</row>
    <row r="42" spans="1:19">
      <c r="A42" s="197"/>
      <c r="B42" s="48"/>
      <c r="C42" s="59"/>
      <c r="D42" s="48"/>
      <c r="E42" s="48"/>
      <c r="F42" s="48"/>
      <c r="G42" s="58" t="s">
        <v>44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>
      <c r="A43" s="197"/>
      <c r="B43" s="48"/>
      <c r="C43" s="59"/>
      <c r="D43" s="48"/>
      <c r="E43" s="48"/>
      <c r="F43" s="48"/>
      <c r="G43" s="60"/>
      <c r="H43" s="52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</row>
  </sheetData>
  <mergeCells count="3">
    <mergeCell ref="B2:G2"/>
    <mergeCell ref="I2:M2"/>
    <mergeCell ref="C3:G3"/>
  </mergeCells>
  <pageMargins left="0.39" right="0.41" top="1" bottom="1" header="0.5" footer="0.5"/>
  <pageSetup scale="53" orientation="landscape" r:id="rId1"/>
  <headerFooter>
    <oddHeader>&amp;F</oddHeader>
    <oddFooter>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6"/>
  <sheetViews>
    <sheetView showGridLines="0" workbookViewId="0">
      <selection activeCell="L6" sqref="L6"/>
    </sheetView>
  </sheetViews>
  <sheetFormatPr defaultRowHeight="12.75"/>
  <cols>
    <col min="1" max="1" width="9.140625" style="1"/>
    <col min="2" max="2" width="5.85546875" style="1" customWidth="1"/>
    <col min="3" max="3" width="25.28515625" style="2" customWidth="1"/>
    <col min="4" max="4" width="10" style="1" customWidth="1"/>
    <col min="5" max="5" width="11" style="1" customWidth="1"/>
    <col min="6" max="6" width="10.85546875" style="1" customWidth="1"/>
    <col min="7" max="9" width="11" style="1" customWidth="1"/>
    <col min="10" max="10" width="11.28515625" style="1" customWidth="1"/>
    <col min="11" max="11" width="10.42578125" style="1" customWidth="1"/>
    <col min="12" max="12" width="11.28515625" style="1" customWidth="1"/>
    <col min="13" max="13" width="11" style="1" customWidth="1"/>
    <col min="14" max="14" width="8.42578125" style="1" customWidth="1"/>
    <col min="15" max="15" width="22" style="1" customWidth="1"/>
    <col min="16" max="16384" width="9.140625" style="1"/>
  </cols>
  <sheetData>
    <row r="1" spans="1:15" s="3" customFormat="1" ht="17.25" thickTop="1" thickBot="1">
      <c r="A1" s="4"/>
      <c r="B1" s="278" t="s">
        <v>0</v>
      </c>
      <c r="C1" s="279"/>
      <c r="D1" s="279"/>
      <c r="E1" s="279"/>
      <c r="F1" s="279"/>
      <c r="G1" s="280"/>
      <c r="H1" s="5"/>
      <c r="I1" s="281" t="s">
        <v>1</v>
      </c>
      <c r="J1" s="282"/>
      <c r="K1" s="282"/>
      <c r="L1" s="282"/>
      <c r="M1" s="283"/>
      <c r="N1" s="6"/>
      <c r="O1" s="7"/>
    </row>
    <row r="2" spans="1:15" s="3" customFormat="1" ht="17.25" thickTop="1" thickBot="1">
      <c r="A2" s="8"/>
      <c r="B2" s="9"/>
      <c r="C2" s="278" t="s">
        <v>2</v>
      </c>
      <c r="D2" s="279"/>
      <c r="E2" s="279"/>
      <c r="F2" s="279"/>
      <c r="G2" s="280"/>
      <c r="H2" s="10"/>
      <c r="I2" s="11"/>
      <c r="J2" s="10"/>
      <c r="K2" s="10"/>
      <c r="L2" s="10"/>
      <c r="M2" s="10"/>
      <c r="N2" s="12"/>
      <c r="O2" s="13"/>
    </row>
    <row r="3" spans="1:15" s="2" customFormat="1" ht="39.75" thickTop="1" thickBot="1">
      <c r="A3" s="14" t="s">
        <v>3</v>
      </c>
      <c r="B3" s="15" t="s">
        <v>4</v>
      </c>
      <c r="C3" s="15" t="s">
        <v>5</v>
      </c>
      <c r="D3" s="15" t="s">
        <v>6</v>
      </c>
      <c r="E3" s="16" t="s">
        <v>7</v>
      </c>
      <c r="F3" s="15" t="s">
        <v>8</v>
      </c>
      <c r="G3" s="15" t="s">
        <v>9</v>
      </c>
      <c r="H3" s="16" t="s">
        <v>10</v>
      </c>
      <c r="I3" s="15" t="s">
        <v>11</v>
      </c>
      <c r="J3" s="16" t="s">
        <v>12</v>
      </c>
      <c r="K3" s="15" t="s">
        <v>13</v>
      </c>
      <c r="L3" s="16" t="s">
        <v>14</v>
      </c>
      <c r="M3" s="16" t="s">
        <v>15</v>
      </c>
      <c r="N3" s="17" t="s">
        <v>16</v>
      </c>
      <c r="O3" s="18" t="s">
        <v>17</v>
      </c>
    </row>
    <row r="4" spans="1:15" s="2" customFormat="1" ht="30" customHeight="1" thickTop="1" thickBot="1">
      <c r="A4" s="14"/>
      <c r="B4" s="19">
        <v>1</v>
      </c>
      <c r="C4" s="20" t="s">
        <v>18</v>
      </c>
      <c r="D4" s="21" t="s">
        <v>19</v>
      </c>
      <c r="E4" s="19" t="s">
        <v>20</v>
      </c>
      <c r="F4" s="19" t="s">
        <v>21</v>
      </c>
      <c r="G4" s="19" t="s">
        <v>22</v>
      </c>
      <c r="H4" s="19" t="s">
        <v>23</v>
      </c>
      <c r="I4" s="19" t="s">
        <v>20</v>
      </c>
      <c r="J4" s="19" t="s">
        <v>24</v>
      </c>
      <c r="K4" s="19" t="s">
        <v>25</v>
      </c>
      <c r="L4" s="19" t="s">
        <v>26</v>
      </c>
      <c r="M4" s="19" t="s">
        <v>27</v>
      </c>
      <c r="N4" s="22" t="s">
        <v>28</v>
      </c>
      <c r="O4" s="23" t="s">
        <v>29</v>
      </c>
    </row>
    <row r="5" spans="1:15" s="2" customFormat="1" ht="30" customHeight="1" thickTop="1" thickBot="1">
      <c r="A5" s="24">
        <v>21</v>
      </c>
      <c r="B5" s="19">
        <v>2</v>
      </c>
      <c r="C5" s="20" t="s">
        <v>30</v>
      </c>
      <c r="D5" s="25" t="s">
        <v>31</v>
      </c>
      <c r="E5" s="19" t="s">
        <v>20</v>
      </c>
      <c r="F5" s="19" t="s">
        <v>20</v>
      </c>
      <c r="G5" s="19" t="s">
        <v>27</v>
      </c>
      <c r="H5" s="19" t="s">
        <v>32</v>
      </c>
      <c r="I5" s="26" t="s">
        <v>33</v>
      </c>
      <c r="J5" s="19" t="s">
        <v>34</v>
      </c>
      <c r="K5" s="19" t="s">
        <v>21</v>
      </c>
      <c r="L5" s="19" t="s">
        <v>25</v>
      </c>
      <c r="M5" s="19" t="s">
        <v>27</v>
      </c>
      <c r="N5" s="22" t="s">
        <v>35</v>
      </c>
      <c r="O5" s="27" t="s">
        <v>36</v>
      </c>
    </row>
    <row r="6" spans="1:15" s="2" customFormat="1" ht="30" customHeight="1" thickTop="1" thickBot="1">
      <c r="A6" s="28">
        <v>14</v>
      </c>
      <c r="B6" s="19">
        <v>3</v>
      </c>
      <c r="C6" s="20" t="s">
        <v>37</v>
      </c>
      <c r="D6" s="29" t="s">
        <v>38</v>
      </c>
      <c r="E6" s="19" t="s">
        <v>20</v>
      </c>
      <c r="F6" s="19" t="s">
        <v>21</v>
      </c>
      <c r="G6" s="19" t="s">
        <v>39</v>
      </c>
      <c r="H6" s="19" t="s">
        <v>27</v>
      </c>
      <c r="I6" s="26" t="s">
        <v>33</v>
      </c>
      <c r="J6" s="19" t="s">
        <v>40</v>
      </c>
      <c r="K6" s="19" t="s">
        <v>23</v>
      </c>
      <c r="L6" s="19" t="s">
        <v>26</v>
      </c>
      <c r="M6" s="19" t="s">
        <v>23</v>
      </c>
      <c r="N6" s="22" t="s">
        <v>35</v>
      </c>
      <c r="O6" s="27" t="s">
        <v>41</v>
      </c>
    </row>
    <row r="7" spans="1:15" s="2" customFormat="1" ht="30" customHeight="1" thickTop="1" thickBot="1">
      <c r="A7" s="28">
        <v>14</v>
      </c>
      <c r="B7" s="19" t="s">
        <v>42</v>
      </c>
      <c r="C7" s="20" t="s">
        <v>43</v>
      </c>
      <c r="D7" s="19" t="s">
        <v>19</v>
      </c>
      <c r="E7" s="19" t="s">
        <v>20</v>
      </c>
      <c r="F7" s="19" t="s">
        <v>29</v>
      </c>
      <c r="G7" s="19" t="s">
        <v>44</v>
      </c>
      <c r="H7" s="19" t="s">
        <v>39</v>
      </c>
      <c r="I7" s="19" t="s">
        <v>20</v>
      </c>
      <c r="J7" s="19" t="s">
        <v>45</v>
      </c>
      <c r="K7" s="19" t="s">
        <v>46</v>
      </c>
      <c r="L7" s="19"/>
      <c r="M7" s="19" t="s">
        <v>20</v>
      </c>
      <c r="N7" s="22" t="s">
        <v>28</v>
      </c>
      <c r="O7" s="27" t="s">
        <v>47</v>
      </c>
    </row>
    <row r="8" spans="1:15" s="2" customFormat="1" ht="30" customHeight="1" thickTop="1" thickBot="1">
      <c r="A8" s="31">
        <v>1</v>
      </c>
      <c r="B8" s="19">
        <v>4</v>
      </c>
      <c r="C8" s="20" t="s">
        <v>48</v>
      </c>
      <c r="D8" s="19" t="s">
        <v>19</v>
      </c>
      <c r="E8" s="19" t="s">
        <v>20</v>
      </c>
      <c r="F8" s="19" t="s">
        <v>25</v>
      </c>
      <c r="G8" s="19" t="s">
        <v>46</v>
      </c>
      <c r="H8" s="19" t="s">
        <v>22</v>
      </c>
      <c r="I8" s="19" t="s">
        <v>20</v>
      </c>
      <c r="J8" s="19" t="s">
        <v>49</v>
      </c>
      <c r="K8" s="19" t="s">
        <v>29</v>
      </c>
      <c r="L8" s="19" t="s">
        <v>26</v>
      </c>
      <c r="M8" s="19" t="s">
        <v>20</v>
      </c>
      <c r="N8" s="22" t="s">
        <v>28</v>
      </c>
      <c r="O8" s="32" t="s">
        <v>50</v>
      </c>
    </row>
    <row r="9" spans="1:15" s="2" customFormat="1" ht="30" customHeight="1" thickTop="1" thickBot="1">
      <c r="A9" s="33">
        <v>20</v>
      </c>
      <c r="B9" s="179">
        <v>5</v>
      </c>
      <c r="C9" s="180" t="s">
        <v>51</v>
      </c>
      <c r="D9" s="181" t="s">
        <v>52</v>
      </c>
      <c r="E9" s="179" t="s">
        <v>20</v>
      </c>
      <c r="F9" s="179" t="s">
        <v>20</v>
      </c>
      <c r="G9" s="179" t="s">
        <v>23</v>
      </c>
      <c r="H9" s="179" t="s">
        <v>46</v>
      </c>
      <c r="I9" s="182" t="s">
        <v>33</v>
      </c>
      <c r="J9" s="179" t="s">
        <v>27</v>
      </c>
      <c r="K9" s="179" t="s">
        <v>29</v>
      </c>
      <c r="L9" s="179" t="s">
        <v>26</v>
      </c>
      <c r="M9" s="179" t="s">
        <v>20</v>
      </c>
      <c r="N9" s="183" t="s">
        <v>28</v>
      </c>
      <c r="O9" s="27" t="s">
        <v>21</v>
      </c>
    </row>
    <row r="10" spans="1:15" s="2" customFormat="1" ht="30" customHeight="1" thickTop="1" thickBot="1">
      <c r="A10" s="39">
        <v>6</v>
      </c>
      <c r="B10" s="179" t="s">
        <v>53</v>
      </c>
      <c r="C10" s="184" t="s">
        <v>54</v>
      </c>
      <c r="D10" s="179" t="s">
        <v>55</v>
      </c>
      <c r="E10" s="179" t="s">
        <v>20</v>
      </c>
      <c r="F10" s="179" t="s">
        <v>56</v>
      </c>
      <c r="G10" s="179" t="s">
        <v>20</v>
      </c>
      <c r="H10" s="179" t="s">
        <v>32</v>
      </c>
      <c r="I10" s="182" t="s">
        <v>33</v>
      </c>
      <c r="J10" s="179" t="s">
        <v>104</v>
      </c>
      <c r="K10" s="179" t="s">
        <v>27</v>
      </c>
      <c r="L10" s="179" t="s">
        <v>25</v>
      </c>
      <c r="M10" s="179" t="s">
        <v>27</v>
      </c>
      <c r="N10" s="183" t="s">
        <v>35</v>
      </c>
      <c r="O10" s="27" t="s">
        <v>57</v>
      </c>
    </row>
    <row r="11" spans="1:15" s="30" customFormat="1" ht="30" customHeight="1" thickTop="1" thickBot="1">
      <c r="A11" s="40">
        <v>8</v>
      </c>
      <c r="B11" s="179">
        <v>6</v>
      </c>
      <c r="C11" s="180" t="s">
        <v>58</v>
      </c>
      <c r="D11" s="181" t="s">
        <v>19</v>
      </c>
      <c r="E11" s="179" t="s">
        <v>20</v>
      </c>
      <c r="F11" s="179" t="s">
        <v>46</v>
      </c>
      <c r="G11" s="179" t="s">
        <v>32</v>
      </c>
      <c r="H11" s="179" t="s">
        <v>23</v>
      </c>
      <c r="I11" s="179" t="s">
        <v>20</v>
      </c>
      <c r="J11" s="179" t="s">
        <v>27</v>
      </c>
      <c r="K11" s="179" t="s">
        <v>59</v>
      </c>
      <c r="L11" s="179" t="s">
        <v>25</v>
      </c>
      <c r="M11" s="179" t="s">
        <v>23</v>
      </c>
      <c r="N11" s="183" t="s">
        <v>28</v>
      </c>
      <c r="O11" s="41"/>
    </row>
    <row r="12" spans="1:15" s="30" customFormat="1" ht="30" customHeight="1" thickTop="1" thickBot="1">
      <c r="A12" s="28">
        <v>14</v>
      </c>
      <c r="B12" s="179">
        <v>7</v>
      </c>
      <c r="C12" s="180" t="s">
        <v>60</v>
      </c>
      <c r="D12" s="181" t="s">
        <v>31</v>
      </c>
      <c r="E12" s="179" t="s">
        <v>20</v>
      </c>
      <c r="F12" s="185" t="s">
        <v>61</v>
      </c>
      <c r="G12" s="179" t="s">
        <v>39</v>
      </c>
      <c r="H12" s="179" t="s">
        <v>32</v>
      </c>
      <c r="I12" s="182" t="s">
        <v>33</v>
      </c>
      <c r="J12" s="179" t="s">
        <v>20</v>
      </c>
      <c r="K12" s="179" t="s">
        <v>27</v>
      </c>
      <c r="L12" s="179" t="s">
        <v>49</v>
      </c>
      <c r="M12" s="181" t="s">
        <v>27</v>
      </c>
      <c r="N12" s="183" t="s">
        <v>35</v>
      </c>
      <c r="O12" s="41" t="s">
        <v>29</v>
      </c>
    </row>
    <row r="13" spans="1:15" s="2" customFormat="1" ht="30" customHeight="1" thickTop="1" thickBot="1">
      <c r="A13" s="44">
        <v>28</v>
      </c>
      <c r="B13" s="34">
        <v>8</v>
      </c>
      <c r="C13" s="35" t="s">
        <v>62</v>
      </c>
      <c r="D13" s="21" t="s">
        <v>19</v>
      </c>
      <c r="E13" s="34" t="s">
        <v>20</v>
      </c>
      <c r="F13" s="45" t="s">
        <v>25</v>
      </c>
      <c r="G13" s="34" t="s">
        <v>22</v>
      </c>
      <c r="H13" s="34" t="s">
        <v>39</v>
      </c>
      <c r="I13" s="34" t="s">
        <v>20</v>
      </c>
      <c r="J13" s="42" t="s">
        <v>61</v>
      </c>
      <c r="K13" s="34" t="s">
        <v>46</v>
      </c>
      <c r="L13" s="34" t="s">
        <v>27</v>
      </c>
      <c r="M13" s="43" t="s">
        <v>20</v>
      </c>
      <c r="N13" s="38" t="s">
        <v>28</v>
      </c>
      <c r="O13" s="27"/>
    </row>
    <row r="14" spans="1:15" s="2" customFormat="1" ht="30" customHeight="1" thickTop="1" thickBot="1">
      <c r="A14" s="24">
        <v>21</v>
      </c>
      <c r="B14" s="34">
        <v>9</v>
      </c>
      <c r="C14" s="35" t="s">
        <v>63</v>
      </c>
      <c r="D14" s="21" t="s">
        <v>19</v>
      </c>
      <c r="E14" s="34" t="s">
        <v>20</v>
      </c>
      <c r="F14" s="45" t="s">
        <v>21</v>
      </c>
      <c r="G14" s="34" t="s">
        <v>27</v>
      </c>
      <c r="H14" s="34" t="s">
        <v>22</v>
      </c>
      <c r="I14" s="34" t="s">
        <v>20</v>
      </c>
      <c r="J14" s="34" t="s">
        <v>20</v>
      </c>
      <c r="K14" s="34" t="s">
        <v>23</v>
      </c>
      <c r="L14" s="34" t="s">
        <v>26</v>
      </c>
      <c r="M14" s="43" t="s">
        <v>27</v>
      </c>
      <c r="N14" s="38" t="s">
        <v>28</v>
      </c>
      <c r="O14" s="27"/>
    </row>
    <row r="15" spans="1:15" s="2" customFormat="1" ht="30" customHeight="1" thickTop="1" thickBot="1">
      <c r="A15" s="28">
        <v>14</v>
      </c>
      <c r="B15" s="34">
        <v>10</v>
      </c>
      <c r="C15" s="35" t="s">
        <v>64</v>
      </c>
      <c r="D15" s="25" t="s">
        <v>31</v>
      </c>
      <c r="E15" s="34" t="s">
        <v>20</v>
      </c>
      <c r="F15" s="34" t="s">
        <v>22</v>
      </c>
      <c r="G15" s="45" t="s">
        <v>46</v>
      </c>
      <c r="H15" s="34" t="s">
        <v>27</v>
      </c>
      <c r="I15" s="37" t="s">
        <v>33</v>
      </c>
      <c r="J15" s="34" t="s">
        <v>20</v>
      </c>
      <c r="K15" s="34" t="s">
        <v>29</v>
      </c>
      <c r="L15" s="34" t="s">
        <v>25</v>
      </c>
      <c r="M15" s="43" t="s">
        <v>29</v>
      </c>
      <c r="N15" s="38" t="s">
        <v>35</v>
      </c>
      <c r="O15" s="27" t="s">
        <v>23</v>
      </c>
    </row>
    <row r="16" spans="1:15" s="2" customFormat="1" ht="30" customHeight="1" thickTop="1" thickBot="1">
      <c r="A16" s="24">
        <v>21</v>
      </c>
      <c r="B16" s="34">
        <v>11</v>
      </c>
      <c r="C16" s="35" t="s">
        <v>65</v>
      </c>
      <c r="D16" s="21" t="s">
        <v>19</v>
      </c>
      <c r="E16" s="34" t="s">
        <v>20</v>
      </c>
      <c r="F16" s="34" t="s">
        <v>46</v>
      </c>
      <c r="G16" s="45" t="s">
        <v>44</v>
      </c>
      <c r="H16" s="45" t="s">
        <v>46</v>
      </c>
      <c r="I16" s="34" t="s">
        <v>20</v>
      </c>
      <c r="J16" s="34" t="s">
        <v>22</v>
      </c>
      <c r="K16" s="34" t="s">
        <v>27</v>
      </c>
      <c r="L16" s="34" t="s">
        <v>29</v>
      </c>
      <c r="M16" s="34" t="s">
        <v>29</v>
      </c>
      <c r="N16" s="38" t="s">
        <v>28</v>
      </c>
      <c r="O16" s="27"/>
    </row>
    <row r="17" spans="1:15" ht="14.25" thickTop="1" thickBot="1">
      <c r="A17" s="46"/>
      <c r="B17" s="46"/>
      <c r="C17" s="47"/>
      <c r="D17" s="48"/>
      <c r="E17" s="48"/>
      <c r="F17" s="49"/>
      <c r="G17" s="50" t="s">
        <v>66</v>
      </c>
      <c r="H17" s="49"/>
      <c r="I17" s="50" t="s">
        <v>67</v>
      </c>
      <c r="J17" s="48"/>
      <c r="K17" s="51"/>
      <c r="L17" s="51"/>
      <c r="M17" s="48"/>
      <c r="N17" s="48"/>
      <c r="O17" s="48"/>
    </row>
    <row r="18" spans="1:15" ht="13.5" thickBot="1">
      <c r="A18" s="52"/>
      <c r="B18" s="48"/>
      <c r="C18" s="53"/>
      <c r="D18" s="48"/>
      <c r="E18" s="48"/>
      <c r="F18" s="49"/>
      <c r="G18" s="54" t="s">
        <v>20</v>
      </c>
      <c r="H18" s="49"/>
      <c r="I18" s="55" t="s">
        <v>20</v>
      </c>
      <c r="J18" s="48"/>
      <c r="K18" s="48"/>
      <c r="L18" s="48"/>
      <c r="M18" s="48"/>
      <c r="N18" s="48"/>
      <c r="O18" s="48"/>
    </row>
    <row r="19" spans="1:15">
      <c r="A19" s="52"/>
      <c r="B19" s="48"/>
      <c r="C19" s="56"/>
      <c r="D19" s="48"/>
      <c r="E19" s="48"/>
      <c r="F19" s="49"/>
      <c r="G19" s="57" t="s">
        <v>23</v>
      </c>
      <c r="H19" s="48"/>
      <c r="I19" s="48"/>
      <c r="J19" s="48"/>
      <c r="K19" s="48"/>
      <c r="L19" s="48"/>
      <c r="M19" s="48"/>
      <c r="N19" s="48"/>
      <c r="O19" s="48"/>
    </row>
    <row r="20" spans="1:15">
      <c r="A20" s="52"/>
      <c r="B20" s="48"/>
      <c r="C20" s="56"/>
      <c r="D20" s="48"/>
      <c r="E20" s="48"/>
      <c r="F20" s="49"/>
      <c r="G20" s="57" t="s">
        <v>32</v>
      </c>
      <c r="H20" s="48"/>
      <c r="I20" s="48"/>
      <c r="J20" s="48"/>
      <c r="K20" s="48"/>
      <c r="L20" s="48"/>
      <c r="M20" s="48"/>
      <c r="N20" s="48"/>
      <c r="O20" s="48"/>
    </row>
    <row r="21" spans="1:15">
      <c r="A21" s="52"/>
      <c r="B21" s="48"/>
      <c r="C21" s="56"/>
      <c r="D21" s="48"/>
      <c r="E21" s="48"/>
      <c r="F21" s="49"/>
      <c r="G21" s="58" t="s">
        <v>39</v>
      </c>
      <c r="H21" s="48"/>
      <c r="I21" s="48"/>
      <c r="J21" s="48"/>
      <c r="K21" s="48"/>
      <c r="L21" s="48"/>
      <c r="M21" s="48"/>
      <c r="N21" s="48"/>
      <c r="O21" s="48"/>
    </row>
    <row r="22" spans="1:15">
      <c r="A22" s="52"/>
      <c r="B22" s="48"/>
      <c r="C22" s="56"/>
      <c r="D22" s="48"/>
      <c r="E22" s="48"/>
      <c r="F22" s="49"/>
      <c r="G22" s="58" t="s">
        <v>22</v>
      </c>
      <c r="H22" s="48"/>
      <c r="I22" s="48"/>
      <c r="J22" s="48"/>
      <c r="K22" s="48"/>
      <c r="L22" s="48"/>
      <c r="M22" s="48"/>
      <c r="N22" s="48"/>
      <c r="O22" s="48"/>
    </row>
    <row r="23" spans="1:15">
      <c r="A23" s="52"/>
      <c r="B23" s="48"/>
      <c r="C23" s="59"/>
      <c r="D23" s="48"/>
      <c r="E23" s="48"/>
      <c r="F23" s="48"/>
      <c r="G23" s="58" t="s">
        <v>27</v>
      </c>
      <c r="H23" s="48"/>
      <c r="I23" s="48"/>
      <c r="J23" s="48"/>
      <c r="K23" s="48"/>
      <c r="L23" s="48"/>
      <c r="M23" s="48"/>
      <c r="N23" s="48"/>
      <c r="O23" s="48"/>
    </row>
    <row r="24" spans="1:15">
      <c r="A24" s="52"/>
      <c r="B24" s="48"/>
      <c r="C24" s="59"/>
      <c r="D24" s="48"/>
      <c r="E24" s="48"/>
      <c r="F24" s="48"/>
      <c r="G24" s="58" t="s">
        <v>46</v>
      </c>
      <c r="H24" s="48"/>
      <c r="I24" s="48"/>
      <c r="J24" s="48"/>
      <c r="K24" s="48"/>
      <c r="L24" s="48"/>
      <c r="M24" s="48"/>
      <c r="N24" s="48"/>
      <c r="O24" s="48"/>
    </row>
    <row r="25" spans="1:15">
      <c r="A25" s="52"/>
      <c r="B25" s="48"/>
      <c r="C25" s="59"/>
      <c r="D25" s="48"/>
      <c r="E25" s="48"/>
      <c r="F25" s="48"/>
      <c r="G25" s="58" t="s">
        <v>44</v>
      </c>
      <c r="H25" s="48"/>
      <c r="I25" s="48"/>
      <c r="J25" s="48"/>
      <c r="K25" s="48"/>
      <c r="L25" s="48"/>
      <c r="M25" s="48"/>
      <c r="N25" s="48"/>
      <c r="O25" s="48"/>
    </row>
    <row r="26" spans="1:15">
      <c r="A26" s="52"/>
      <c r="B26" s="48"/>
      <c r="C26" s="59"/>
      <c r="D26" s="48"/>
      <c r="E26" s="48"/>
      <c r="F26" s="48"/>
      <c r="G26" s="60"/>
      <c r="H26" s="52"/>
      <c r="I26" s="48"/>
      <c r="J26" s="48"/>
      <c r="K26" s="48"/>
      <c r="L26" s="48"/>
      <c r="M26" s="48"/>
      <c r="N26" s="48"/>
      <c r="O26" s="48"/>
    </row>
  </sheetData>
  <mergeCells count="3">
    <mergeCell ref="B1:G1"/>
    <mergeCell ref="I1:M1"/>
    <mergeCell ref="C2:G2"/>
  </mergeCells>
  <pageMargins left="0.39" right="0.41" top="1" bottom="1" header="0.5" footer="0.5"/>
  <pageSetup scale="88" orientation="landscape" r:id="rId1"/>
  <headerFooter>
    <oddHeader>&amp;F</oddHeader>
    <oddFooter>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showGridLines="0" workbookViewId="0"/>
  </sheetViews>
  <sheetFormatPr defaultRowHeight="12.75"/>
  <cols>
    <col min="1" max="1" width="9.140625" style="1"/>
    <col min="2" max="2" width="5.85546875" style="1" customWidth="1"/>
    <col min="3" max="3" width="25.28515625" style="2" customWidth="1"/>
    <col min="4" max="4" width="10" style="1" customWidth="1"/>
    <col min="5" max="5" width="48" style="1" customWidth="1"/>
    <col min="6" max="6" width="13" style="1" customWidth="1"/>
    <col min="7" max="7" width="11" style="1" customWidth="1"/>
    <col min="8" max="8" width="10.85546875" style="1" customWidth="1"/>
    <col min="9" max="11" width="11" style="1" customWidth="1"/>
    <col min="12" max="12" width="11.28515625" style="1" customWidth="1"/>
    <col min="13" max="13" width="10.42578125" style="1" customWidth="1"/>
    <col min="14" max="14" width="11.28515625" style="1" customWidth="1"/>
    <col min="15" max="15" width="11" style="1" customWidth="1"/>
    <col min="16" max="16" width="8.42578125" style="1" customWidth="1"/>
    <col min="17" max="16384" width="9.140625" style="1"/>
  </cols>
  <sheetData>
    <row r="1" spans="1:17" s="3" customFormat="1" ht="15.75">
      <c r="A1" s="61"/>
      <c r="B1" s="62" t="s">
        <v>0</v>
      </c>
      <c r="C1" s="63"/>
      <c r="D1" s="63"/>
      <c r="E1" s="63"/>
      <c r="F1" s="63"/>
      <c r="G1" s="63"/>
      <c r="H1" s="63"/>
      <c r="I1" s="63"/>
      <c r="J1" s="64"/>
      <c r="K1" s="65" t="s">
        <v>1</v>
      </c>
      <c r="L1" s="65"/>
      <c r="M1" s="65"/>
      <c r="N1" s="65"/>
      <c r="O1" s="65"/>
      <c r="P1" s="64"/>
      <c r="Q1" s="7"/>
    </row>
    <row r="2" spans="1:17" s="3" customFormat="1" ht="16.5" thickBot="1">
      <c r="A2" s="66"/>
      <c r="B2" s="67"/>
      <c r="C2" s="68" t="s">
        <v>2</v>
      </c>
      <c r="D2" s="68"/>
      <c r="E2" s="68"/>
      <c r="F2" s="69"/>
      <c r="G2" s="69"/>
      <c r="H2" s="69"/>
      <c r="I2" s="69"/>
      <c r="J2" s="70"/>
      <c r="K2" s="71"/>
      <c r="L2" s="69"/>
      <c r="M2" s="69"/>
      <c r="N2" s="69"/>
      <c r="O2" s="69"/>
      <c r="P2" s="70"/>
      <c r="Q2" s="72"/>
    </row>
    <row r="3" spans="1:17" s="2" customFormat="1" ht="39.75" thickTop="1" thickBot="1">
      <c r="A3" s="73" t="s">
        <v>3</v>
      </c>
      <c r="B3" s="74" t="s">
        <v>4</v>
      </c>
      <c r="C3" s="74" t="s">
        <v>5</v>
      </c>
      <c r="D3" s="74" t="s">
        <v>6</v>
      </c>
      <c r="E3" s="74" t="s">
        <v>68</v>
      </c>
      <c r="F3" s="75" t="s">
        <v>69</v>
      </c>
      <c r="G3" s="76" t="s">
        <v>7</v>
      </c>
      <c r="H3" s="77" t="s">
        <v>8</v>
      </c>
      <c r="I3" s="78" t="s">
        <v>9</v>
      </c>
      <c r="J3" s="79" t="s">
        <v>10</v>
      </c>
      <c r="K3" s="80" t="s">
        <v>11</v>
      </c>
      <c r="L3" s="81" t="s">
        <v>12</v>
      </c>
      <c r="M3" s="82" t="s">
        <v>13</v>
      </c>
      <c r="N3" s="83" t="s">
        <v>14</v>
      </c>
      <c r="O3" s="83" t="s">
        <v>15</v>
      </c>
      <c r="P3" s="84" t="s">
        <v>16</v>
      </c>
      <c r="Q3" s="59"/>
    </row>
    <row r="4" spans="1:17" s="2" customFormat="1" ht="30" customHeight="1" thickTop="1" thickBot="1">
      <c r="A4" s="14"/>
      <c r="B4" s="85">
        <v>1</v>
      </c>
      <c r="C4" s="86" t="s">
        <v>18</v>
      </c>
      <c r="D4" s="36" t="s">
        <v>19</v>
      </c>
      <c r="E4" s="87"/>
      <c r="F4" s="88"/>
      <c r="G4" s="89" t="s">
        <v>20</v>
      </c>
      <c r="H4" s="90"/>
      <c r="I4" s="90"/>
      <c r="J4" s="88"/>
      <c r="K4" s="91"/>
      <c r="L4" s="92"/>
      <c r="M4" s="93"/>
      <c r="N4" s="90"/>
      <c r="O4" s="90"/>
      <c r="P4" s="94"/>
      <c r="Q4" s="59"/>
    </row>
    <row r="5" spans="1:17" s="2" customFormat="1" ht="30" customHeight="1" thickTop="1" thickBot="1">
      <c r="A5" s="14">
        <v>14</v>
      </c>
      <c r="B5" s="85" t="s">
        <v>70</v>
      </c>
      <c r="C5" s="86" t="s">
        <v>71</v>
      </c>
      <c r="D5" s="36" t="s">
        <v>19</v>
      </c>
      <c r="E5" s="95" t="s">
        <v>72</v>
      </c>
      <c r="F5" s="96"/>
      <c r="G5" s="97" t="s">
        <v>20</v>
      </c>
      <c r="H5" s="93"/>
      <c r="I5" s="93"/>
      <c r="J5" s="96"/>
      <c r="K5" s="91"/>
      <c r="L5" s="92"/>
      <c r="M5" s="93"/>
      <c r="N5" s="93"/>
      <c r="O5" s="93"/>
      <c r="P5" s="98"/>
      <c r="Q5" s="59"/>
    </row>
    <row r="6" spans="1:17" s="2" customFormat="1" ht="30" customHeight="1" thickTop="1" thickBot="1">
      <c r="A6" s="14">
        <v>7</v>
      </c>
      <c r="B6" s="99">
        <v>2</v>
      </c>
      <c r="C6" s="100" t="s">
        <v>30</v>
      </c>
      <c r="D6" s="36" t="s">
        <v>31</v>
      </c>
      <c r="E6" s="34"/>
      <c r="F6" s="96"/>
      <c r="G6" s="97" t="s">
        <v>20</v>
      </c>
      <c r="H6" s="93"/>
      <c r="I6" s="93"/>
      <c r="J6" s="96"/>
      <c r="K6" s="91"/>
      <c r="L6" s="92"/>
      <c r="M6" s="93"/>
      <c r="N6" s="93"/>
      <c r="O6" s="93"/>
      <c r="P6" s="98"/>
      <c r="Q6" s="59"/>
    </row>
    <row r="7" spans="1:17" s="2" customFormat="1" ht="30" customHeight="1" thickTop="1" thickBot="1">
      <c r="A7" s="14">
        <v>14</v>
      </c>
      <c r="B7" s="99" t="s">
        <v>73</v>
      </c>
      <c r="C7" s="100" t="s">
        <v>37</v>
      </c>
      <c r="D7" s="87"/>
      <c r="E7" s="95" t="s">
        <v>72</v>
      </c>
      <c r="F7" s="96"/>
      <c r="G7" s="97" t="s">
        <v>20</v>
      </c>
      <c r="H7" s="93"/>
      <c r="I7" s="93"/>
      <c r="J7" s="96"/>
      <c r="K7" s="91"/>
      <c r="L7" s="92"/>
      <c r="M7" s="93"/>
      <c r="N7" s="93"/>
      <c r="O7" s="93"/>
      <c r="P7" s="98"/>
      <c r="Q7" s="59"/>
    </row>
    <row r="8" spans="1:17" s="2" customFormat="1" ht="30" customHeight="1" thickTop="1" thickBot="1">
      <c r="A8" s="14">
        <v>13</v>
      </c>
      <c r="B8" s="25" t="s">
        <v>74</v>
      </c>
      <c r="C8" s="101" t="s">
        <v>75</v>
      </c>
      <c r="D8" s="34"/>
      <c r="E8" s="34" t="s">
        <v>31</v>
      </c>
      <c r="F8" s="96"/>
      <c r="G8" s="97" t="s">
        <v>20</v>
      </c>
      <c r="H8" s="93"/>
      <c r="I8" s="93"/>
      <c r="J8" s="96"/>
      <c r="K8" s="91"/>
      <c r="L8" s="92"/>
      <c r="M8" s="93"/>
      <c r="N8" s="93"/>
      <c r="O8" s="93"/>
      <c r="P8" s="98"/>
      <c r="Q8" s="59"/>
    </row>
    <row r="9" spans="1:17" s="2" customFormat="1" ht="30" customHeight="1" thickTop="1" thickBot="1">
      <c r="A9" s="14">
        <v>1</v>
      </c>
      <c r="B9" s="25">
        <v>3</v>
      </c>
      <c r="C9" s="101" t="s">
        <v>43</v>
      </c>
      <c r="D9" s="36" t="s">
        <v>19</v>
      </c>
      <c r="E9" s="34" t="s">
        <v>31</v>
      </c>
      <c r="F9" s="96"/>
      <c r="G9" s="97" t="s">
        <v>20</v>
      </c>
      <c r="H9" s="93"/>
      <c r="I9" s="93"/>
      <c r="J9" s="96"/>
      <c r="K9" s="91"/>
      <c r="L9" s="92"/>
      <c r="M9" s="93"/>
      <c r="N9" s="93"/>
      <c r="O9" s="93"/>
      <c r="P9" s="98"/>
      <c r="Q9" s="59"/>
    </row>
    <row r="10" spans="1:17" s="2" customFormat="1" ht="30" customHeight="1" thickTop="1" thickBot="1">
      <c r="A10" s="14">
        <v>1</v>
      </c>
      <c r="B10" s="25" t="s">
        <v>76</v>
      </c>
      <c r="C10" s="101" t="s">
        <v>48</v>
      </c>
      <c r="D10" s="36" t="s">
        <v>19</v>
      </c>
      <c r="E10" s="34" t="s">
        <v>31</v>
      </c>
      <c r="F10" s="96"/>
      <c r="G10" s="97" t="s">
        <v>20</v>
      </c>
      <c r="H10" s="93"/>
      <c r="I10" s="93"/>
      <c r="J10" s="96"/>
      <c r="K10" s="91"/>
      <c r="L10" s="92"/>
      <c r="M10" s="96"/>
      <c r="N10" s="91"/>
      <c r="O10" s="93"/>
      <c r="P10" s="98"/>
      <c r="Q10" s="59"/>
    </row>
    <row r="11" spans="1:17" s="2" customFormat="1" ht="30" customHeight="1" thickTop="1" thickBot="1">
      <c r="A11" s="14">
        <v>20</v>
      </c>
      <c r="B11" s="34" t="s">
        <v>77</v>
      </c>
      <c r="C11" s="35" t="s">
        <v>51</v>
      </c>
      <c r="D11" s="34"/>
      <c r="E11" s="95" t="s">
        <v>72</v>
      </c>
      <c r="F11" s="96"/>
      <c r="G11" s="97" t="s">
        <v>20</v>
      </c>
      <c r="H11" s="93"/>
      <c r="I11" s="93"/>
      <c r="J11" s="96"/>
      <c r="K11" s="91"/>
      <c r="L11" s="92"/>
      <c r="M11" s="96"/>
      <c r="N11" s="91"/>
      <c r="O11" s="93"/>
      <c r="P11" s="98"/>
      <c r="Q11" s="59"/>
    </row>
    <row r="12" spans="1:17" s="2" customFormat="1" ht="30" customHeight="1" thickTop="1" thickBot="1">
      <c r="A12" s="14">
        <v>6</v>
      </c>
      <c r="B12" s="34">
        <v>4</v>
      </c>
      <c r="C12" s="35" t="s">
        <v>54</v>
      </c>
      <c r="D12" s="34" t="s">
        <v>78</v>
      </c>
      <c r="E12" s="87" t="s">
        <v>79</v>
      </c>
      <c r="F12" s="96"/>
      <c r="G12" s="97" t="s">
        <v>20</v>
      </c>
      <c r="H12" s="93"/>
      <c r="I12" s="93"/>
      <c r="J12" s="96"/>
      <c r="K12" s="91"/>
      <c r="L12" s="92"/>
      <c r="M12" s="96"/>
      <c r="N12" s="91"/>
      <c r="O12" s="93"/>
      <c r="P12" s="98"/>
      <c r="Q12" s="59"/>
    </row>
    <row r="13" spans="1:17" s="2" customFormat="1" ht="30" customHeight="1" thickTop="1" thickBot="1">
      <c r="A13" s="14">
        <v>7</v>
      </c>
      <c r="B13" s="25" t="s">
        <v>80</v>
      </c>
      <c r="C13" s="101" t="s">
        <v>81</v>
      </c>
      <c r="D13" s="34"/>
      <c r="E13" s="34" t="s">
        <v>31</v>
      </c>
      <c r="F13" s="96"/>
      <c r="G13" s="97" t="s">
        <v>20</v>
      </c>
      <c r="H13" s="93"/>
      <c r="I13" s="93"/>
      <c r="J13" s="96"/>
      <c r="K13" s="91"/>
      <c r="L13" s="92"/>
      <c r="M13" s="96"/>
      <c r="N13" s="91"/>
      <c r="O13" s="93"/>
      <c r="P13" s="98"/>
      <c r="Q13" s="59"/>
    </row>
    <row r="14" spans="1:17" s="30" customFormat="1" ht="30" customHeight="1" thickTop="1" thickBot="1">
      <c r="A14" s="14">
        <v>1</v>
      </c>
      <c r="B14" s="25">
        <v>6</v>
      </c>
      <c r="C14" s="101" t="s">
        <v>58</v>
      </c>
      <c r="D14" s="36" t="s">
        <v>19</v>
      </c>
      <c r="E14" s="34" t="s">
        <v>31</v>
      </c>
      <c r="F14" s="96"/>
      <c r="G14" s="97" t="s">
        <v>20</v>
      </c>
      <c r="H14" s="91"/>
      <c r="I14" s="93"/>
      <c r="J14" s="96"/>
      <c r="K14" s="91"/>
      <c r="L14" s="92"/>
      <c r="M14" s="93"/>
      <c r="N14" s="93"/>
      <c r="O14" s="93"/>
      <c r="P14" s="98"/>
      <c r="Q14" s="93"/>
    </row>
    <row r="15" spans="1:17" s="30" customFormat="1" ht="30" customHeight="1" thickTop="1" thickBot="1">
      <c r="A15" s="14">
        <v>1</v>
      </c>
      <c r="B15" s="25" t="s">
        <v>82</v>
      </c>
      <c r="C15" s="101" t="s">
        <v>83</v>
      </c>
      <c r="D15" s="34"/>
      <c r="E15" s="34" t="s">
        <v>31</v>
      </c>
      <c r="F15" s="96"/>
      <c r="G15" s="97" t="s">
        <v>20</v>
      </c>
      <c r="H15" s="93"/>
      <c r="I15" s="93"/>
      <c r="J15" s="96"/>
      <c r="K15" s="102"/>
      <c r="L15" s="92"/>
      <c r="M15" s="93"/>
      <c r="N15" s="93"/>
      <c r="O15" s="93"/>
      <c r="P15" s="98"/>
      <c r="Q15" s="93"/>
    </row>
    <row r="16" spans="1:17" s="30" customFormat="1" ht="30" customHeight="1" thickTop="1" thickBot="1">
      <c r="A16" s="14">
        <v>13</v>
      </c>
      <c r="B16" s="34">
        <v>7</v>
      </c>
      <c r="C16" s="35" t="s">
        <v>60</v>
      </c>
      <c r="D16" s="36" t="s">
        <v>31</v>
      </c>
      <c r="E16" s="34"/>
      <c r="F16" s="96"/>
      <c r="G16" s="97" t="s">
        <v>20</v>
      </c>
      <c r="H16" s="93"/>
      <c r="I16" s="93"/>
      <c r="J16" s="96"/>
      <c r="K16" s="102"/>
      <c r="L16" s="92"/>
      <c r="M16" s="93"/>
      <c r="N16" s="93"/>
      <c r="O16" s="93"/>
      <c r="P16" s="98"/>
      <c r="Q16" s="93"/>
    </row>
    <row r="17" spans="1:17" s="2" customFormat="1" ht="30" customHeight="1" thickTop="1" thickBot="1">
      <c r="A17" s="14">
        <v>7</v>
      </c>
      <c r="B17" s="34">
        <v>8</v>
      </c>
      <c r="C17" s="35" t="s">
        <v>84</v>
      </c>
      <c r="D17" s="34"/>
      <c r="E17" s="34"/>
      <c r="F17" s="96"/>
      <c r="G17" s="97" t="s">
        <v>20</v>
      </c>
      <c r="H17" s="93"/>
      <c r="I17" s="93"/>
      <c r="J17" s="93"/>
      <c r="K17" s="96"/>
      <c r="L17" s="103"/>
      <c r="M17" s="93"/>
      <c r="N17" s="93"/>
      <c r="O17" s="93"/>
      <c r="P17" s="98"/>
      <c r="Q17" s="59"/>
    </row>
    <row r="18" spans="1:17" s="2" customFormat="1" ht="30" customHeight="1" thickTop="1" thickBot="1">
      <c r="A18" s="14">
        <v>21</v>
      </c>
      <c r="B18" s="34">
        <v>9</v>
      </c>
      <c r="C18" s="35" t="s">
        <v>62</v>
      </c>
      <c r="D18" s="36" t="s">
        <v>19</v>
      </c>
      <c r="E18" s="34"/>
      <c r="F18" s="96"/>
      <c r="G18" s="97" t="s">
        <v>20</v>
      </c>
      <c r="H18" s="59"/>
      <c r="I18" s="93"/>
      <c r="J18" s="93"/>
      <c r="K18" s="96"/>
      <c r="L18" s="91"/>
      <c r="M18" s="59"/>
      <c r="N18" s="93"/>
      <c r="O18" s="59"/>
      <c r="P18" s="98"/>
      <c r="Q18" s="59"/>
    </row>
    <row r="19" spans="1:17" s="2" customFormat="1" ht="30" customHeight="1" thickTop="1" thickBot="1">
      <c r="A19" s="14">
        <v>21</v>
      </c>
      <c r="B19" s="34">
        <v>10</v>
      </c>
      <c r="C19" s="35" t="s">
        <v>63</v>
      </c>
      <c r="D19" s="36" t="s">
        <v>19</v>
      </c>
      <c r="E19" s="34"/>
      <c r="F19" s="96"/>
      <c r="G19" s="97" t="s">
        <v>20</v>
      </c>
      <c r="H19" s="59"/>
      <c r="I19" s="59"/>
      <c r="J19" s="93"/>
      <c r="K19" s="96"/>
      <c r="L19" s="103"/>
      <c r="M19" s="59"/>
      <c r="N19" s="104"/>
      <c r="O19" s="105"/>
      <c r="P19" s="98"/>
      <c r="Q19" s="59"/>
    </row>
    <row r="20" spans="1:17" s="2" customFormat="1" ht="30" customHeight="1" thickTop="1" thickBot="1">
      <c r="A20" s="14">
        <v>13</v>
      </c>
      <c r="B20" s="25" t="s">
        <v>85</v>
      </c>
      <c r="C20" s="101" t="s">
        <v>86</v>
      </c>
      <c r="D20" s="36" t="s">
        <v>31</v>
      </c>
      <c r="E20" s="34"/>
      <c r="F20" s="106"/>
      <c r="G20" s="97" t="s">
        <v>20</v>
      </c>
      <c r="H20" s="107"/>
      <c r="I20" s="107"/>
      <c r="J20" s="108"/>
      <c r="K20" s="106"/>
      <c r="L20" s="109"/>
      <c r="M20" s="59"/>
      <c r="N20" s="59"/>
      <c r="O20" s="107"/>
      <c r="P20" s="110"/>
      <c r="Q20" s="59"/>
    </row>
    <row r="21" spans="1:17" s="2" customFormat="1" ht="30" customHeight="1" thickTop="1" thickBot="1">
      <c r="A21" s="14">
        <v>1</v>
      </c>
      <c r="B21" s="25">
        <v>11</v>
      </c>
      <c r="C21" s="101" t="s">
        <v>64</v>
      </c>
      <c r="D21" s="36" t="s">
        <v>31</v>
      </c>
      <c r="E21" s="34"/>
      <c r="F21" s="111"/>
      <c r="G21" s="97" t="s">
        <v>20</v>
      </c>
      <c r="H21" s="112"/>
      <c r="I21" s="112"/>
      <c r="J21" s="113"/>
      <c r="K21" s="106"/>
      <c r="L21" s="114"/>
      <c r="M21" s="59"/>
      <c r="N21" s="59"/>
      <c r="O21" s="112"/>
      <c r="P21" s="115"/>
      <c r="Q21" s="59"/>
    </row>
    <row r="22" spans="1:17" s="2" customFormat="1" ht="30" customHeight="1" thickTop="1" thickBot="1">
      <c r="A22" s="14">
        <v>21</v>
      </c>
      <c r="B22" s="34">
        <v>12</v>
      </c>
      <c r="C22" s="35" t="s">
        <v>65</v>
      </c>
      <c r="D22" s="34" t="s">
        <v>87</v>
      </c>
      <c r="E22" s="87" t="s">
        <v>88</v>
      </c>
      <c r="F22" s="116"/>
      <c r="G22" s="97" t="s">
        <v>20</v>
      </c>
      <c r="H22" s="117"/>
      <c r="I22" s="117"/>
      <c r="J22" s="117"/>
      <c r="K22" s="117"/>
      <c r="L22" s="117"/>
      <c r="M22" s="118"/>
      <c r="N22" s="119"/>
      <c r="O22" s="117"/>
      <c r="P22" s="120"/>
      <c r="Q22" s="59"/>
    </row>
    <row r="23" spans="1:17" s="2" customFormat="1" ht="30" customHeight="1" thickTop="1" thickBot="1">
      <c r="A23" s="14">
        <v>14</v>
      </c>
      <c r="B23" s="34">
        <v>13</v>
      </c>
      <c r="C23" s="35" t="s">
        <v>89</v>
      </c>
      <c r="D23" s="36" t="s">
        <v>31</v>
      </c>
      <c r="E23" s="87" t="s">
        <v>90</v>
      </c>
      <c r="F23" s="116"/>
      <c r="G23" s="97" t="s">
        <v>20</v>
      </c>
      <c r="H23" s="117"/>
      <c r="I23" s="117"/>
      <c r="J23" s="117"/>
      <c r="K23" s="117"/>
      <c r="L23" s="117"/>
      <c r="M23" s="121"/>
      <c r="N23" s="122"/>
      <c r="O23" s="117"/>
      <c r="P23" s="120"/>
      <c r="Q23" s="59"/>
    </row>
    <row r="24" spans="1:17" ht="14.25" thickTop="1" thickBot="1">
      <c r="A24" s="46"/>
      <c r="B24" s="46"/>
      <c r="C24" s="47"/>
      <c r="D24" s="48"/>
      <c r="E24" s="48"/>
      <c r="F24" s="48"/>
      <c r="G24" s="48"/>
      <c r="H24" s="49"/>
      <c r="I24" s="123" t="s">
        <v>66</v>
      </c>
      <c r="J24" s="49"/>
      <c r="K24" s="123" t="s">
        <v>67</v>
      </c>
      <c r="L24" s="48"/>
      <c r="M24" s="59"/>
      <c r="N24" s="93"/>
      <c r="O24" s="48"/>
      <c r="P24" s="48"/>
      <c r="Q24" s="48"/>
    </row>
    <row r="25" spans="1:17" ht="13.5" thickBot="1">
      <c r="A25" s="52"/>
      <c r="B25" s="48"/>
      <c r="C25" s="53"/>
      <c r="D25" s="48"/>
      <c r="E25" s="48"/>
      <c r="F25" s="48"/>
      <c r="G25" s="48"/>
      <c r="H25" s="49"/>
      <c r="I25" s="124" t="s">
        <v>20</v>
      </c>
      <c r="J25" s="49"/>
      <c r="K25" s="125" t="s">
        <v>20</v>
      </c>
      <c r="L25" s="48"/>
      <c r="M25" s="48"/>
      <c r="N25" s="48"/>
      <c r="O25" s="48"/>
      <c r="P25" s="48"/>
      <c r="Q25" s="48"/>
    </row>
    <row r="26" spans="1:17">
      <c r="A26" s="52"/>
      <c r="B26" s="48"/>
      <c r="C26" s="56"/>
      <c r="D26" s="48"/>
      <c r="E26" s="48"/>
      <c r="F26" s="48"/>
      <c r="G26" s="48"/>
      <c r="H26" s="49"/>
      <c r="I26" s="126" t="s">
        <v>23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52"/>
      <c r="B27" s="48"/>
      <c r="C27" s="56"/>
      <c r="D27" s="48"/>
      <c r="E27" s="48"/>
      <c r="F27" s="48"/>
      <c r="G27" s="48"/>
      <c r="H27" s="49"/>
      <c r="I27" s="126" t="s">
        <v>32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52"/>
      <c r="B28" s="48"/>
      <c r="C28" s="56"/>
      <c r="D28" s="48"/>
      <c r="E28" s="48"/>
      <c r="F28" s="48"/>
      <c r="G28" s="48"/>
      <c r="H28" s="49"/>
      <c r="I28" s="60" t="s">
        <v>39</v>
      </c>
      <c r="J28" s="48"/>
      <c r="K28" s="48"/>
      <c r="L28" s="48"/>
      <c r="M28" s="48"/>
      <c r="N28" s="48"/>
      <c r="O28" s="48"/>
      <c r="P28" s="48"/>
      <c r="Q28" s="48"/>
    </row>
    <row r="29" spans="1:17" ht="13.5" thickBot="1">
      <c r="A29" s="52"/>
      <c r="B29" s="48"/>
      <c r="C29" s="56"/>
      <c r="D29" s="48"/>
      <c r="E29" s="48"/>
      <c r="F29" s="48"/>
      <c r="G29" s="48"/>
      <c r="H29" s="49"/>
      <c r="I29" s="127" t="s">
        <v>22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52"/>
      <c r="B30" s="48"/>
      <c r="C30" s="59"/>
      <c r="D30" s="48"/>
      <c r="E30" s="48"/>
      <c r="F30" s="48"/>
      <c r="G30" s="48"/>
      <c r="H30" s="48"/>
      <c r="I30" s="128" t="s">
        <v>27</v>
      </c>
      <c r="J30" s="48"/>
      <c r="K30" s="48"/>
      <c r="L30" s="48"/>
      <c r="M30" s="48"/>
      <c r="N30" s="48"/>
      <c r="O30" s="48"/>
      <c r="P30" s="48"/>
      <c r="Q30" s="48"/>
    </row>
    <row r="31" spans="1:17">
      <c r="A31" s="52"/>
      <c r="B31" s="48"/>
      <c r="C31" s="59"/>
      <c r="D31" s="48"/>
      <c r="E31" s="48"/>
      <c r="F31" s="48"/>
      <c r="G31" s="48"/>
      <c r="H31" s="48"/>
      <c r="I31" s="128" t="s">
        <v>46</v>
      </c>
      <c r="J31" s="48"/>
      <c r="K31" s="48"/>
      <c r="L31" s="48"/>
      <c r="M31" s="48"/>
      <c r="N31" s="48"/>
      <c r="O31" s="48"/>
      <c r="P31" s="48"/>
      <c r="Q31" s="48"/>
    </row>
    <row r="32" spans="1:17">
      <c r="A32" s="52"/>
      <c r="B32" s="48"/>
      <c r="C32" s="59"/>
      <c r="D32" s="48"/>
      <c r="E32" s="48"/>
      <c r="F32" s="48"/>
      <c r="G32" s="48"/>
      <c r="H32" s="48"/>
      <c r="I32" s="128" t="s">
        <v>44</v>
      </c>
      <c r="J32" s="48"/>
      <c r="K32" s="48"/>
      <c r="L32" s="48"/>
      <c r="M32" s="48"/>
      <c r="N32" s="48"/>
      <c r="O32" s="48"/>
      <c r="P32" s="48"/>
      <c r="Q32" s="48"/>
    </row>
  </sheetData>
  <pageMargins left="0.39" right="0.41" top="1" bottom="1" header="0.5" footer="0.5"/>
  <headerFooter>
    <oddHeader>&amp;F</oddHeader>
    <oddFooter>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N20"/>
  <sheetViews>
    <sheetView showGridLines="0" workbookViewId="0"/>
  </sheetViews>
  <sheetFormatPr defaultRowHeight="12.75"/>
  <cols>
    <col min="1" max="1" width="5.85546875" style="1" customWidth="1"/>
    <col min="2" max="2" width="25.28515625" style="2" customWidth="1"/>
    <col min="3" max="3" width="10" style="1" customWidth="1"/>
    <col min="4" max="4" width="11" style="1" customWidth="1"/>
    <col min="5" max="5" width="10.85546875" style="1" customWidth="1"/>
    <col min="6" max="8" width="11" style="1" customWidth="1"/>
    <col min="9" max="9" width="11.28515625" style="1" customWidth="1"/>
    <col min="10" max="10" width="10.42578125" style="1" customWidth="1"/>
    <col min="11" max="11" width="11.28515625" style="1" customWidth="1"/>
    <col min="12" max="12" width="11" style="1" customWidth="1"/>
    <col min="13" max="13" width="8.42578125" style="1" customWidth="1"/>
    <col min="14" max="16384" width="9.140625" style="1"/>
  </cols>
  <sheetData>
    <row r="1" spans="1:14" s="3" customFormat="1" ht="15.75">
      <c r="A1" s="62" t="s">
        <v>0</v>
      </c>
      <c r="B1" s="63"/>
      <c r="C1" s="63"/>
      <c r="D1" s="63"/>
      <c r="E1" s="63"/>
      <c r="F1" s="63"/>
      <c r="G1" s="64"/>
      <c r="H1" s="65" t="s">
        <v>1</v>
      </c>
      <c r="I1" s="65"/>
      <c r="J1" s="65"/>
      <c r="K1" s="65"/>
      <c r="L1" s="65"/>
      <c r="M1" s="64"/>
      <c r="N1" s="7"/>
    </row>
    <row r="2" spans="1:14" s="3" customFormat="1" ht="16.5" thickBot="1">
      <c r="A2" s="129"/>
      <c r="B2" s="68" t="s">
        <v>2</v>
      </c>
      <c r="C2" s="68"/>
      <c r="D2" s="68"/>
      <c r="E2" s="68"/>
      <c r="F2" s="69"/>
      <c r="G2" s="70"/>
      <c r="H2" s="71"/>
      <c r="I2" s="69"/>
      <c r="J2" s="69"/>
      <c r="K2" s="69"/>
      <c r="L2" s="69"/>
      <c r="M2" s="70"/>
      <c r="N2" s="72"/>
    </row>
    <row r="3" spans="1:14" s="2" customFormat="1" ht="39" thickBot="1">
      <c r="A3" s="77" t="s">
        <v>4</v>
      </c>
      <c r="B3" s="130" t="s">
        <v>5</v>
      </c>
      <c r="C3" s="78" t="s">
        <v>6</v>
      </c>
      <c r="D3" s="79" t="s">
        <v>7</v>
      </c>
      <c r="E3" s="77" t="s">
        <v>8</v>
      </c>
      <c r="F3" s="78" t="s">
        <v>9</v>
      </c>
      <c r="G3" s="79" t="s">
        <v>10</v>
      </c>
      <c r="H3" s="80" t="s">
        <v>11</v>
      </c>
      <c r="I3" s="81" t="s">
        <v>12</v>
      </c>
      <c r="J3" s="82" t="s">
        <v>13</v>
      </c>
      <c r="K3" s="83" t="s">
        <v>14</v>
      </c>
      <c r="L3" s="83" t="s">
        <v>15</v>
      </c>
      <c r="M3" s="84" t="s">
        <v>16</v>
      </c>
      <c r="N3" s="59"/>
    </row>
    <row r="4" spans="1:14" s="2" customFormat="1" ht="30" customHeight="1" thickBot="1">
      <c r="A4" s="131">
        <v>1</v>
      </c>
      <c r="B4" s="132">
        <v>42113</v>
      </c>
      <c r="C4" s="133" t="s">
        <v>38</v>
      </c>
      <c r="D4" s="134" t="s">
        <v>20</v>
      </c>
      <c r="E4" s="133" t="s">
        <v>29</v>
      </c>
      <c r="F4" s="133" t="s">
        <v>20</v>
      </c>
      <c r="G4" s="133" t="s">
        <v>39</v>
      </c>
      <c r="H4" s="135" t="s">
        <v>91</v>
      </c>
      <c r="I4" s="136" t="s">
        <v>49</v>
      </c>
      <c r="J4" s="137" t="s">
        <v>21</v>
      </c>
      <c r="K4" s="133" t="s">
        <v>25</v>
      </c>
      <c r="L4" s="133" t="s">
        <v>92</v>
      </c>
      <c r="M4" s="134" t="s">
        <v>35</v>
      </c>
      <c r="N4" s="59"/>
    </row>
    <row r="5" spans="1:14" s="2" customFormat="1" ht="30" customHeight="1" thickBot="1">
      <c r="A5" s="131">
        <v>2</v>
      </c>
      <c r="B5" s="132">
        <v>42127</v>
      </c>
      <c r="C5" s="137" t="s">
        <v>38</v>
      </c>
      <c r="D5" s="138" t="s">
        <v>20</v>
      </c>
      <c r="E5" s="137" t="s">
        <v>21</v>
      </c>
      <c r="F5" s="137" t="s">
        <v>20</v>
      </c>
      <c r="G5" s="137" t="s">
        <v>32</v>
      </c>
      <c r="H5" s="135" t="s">
        <v>91</v>
      </c>
      <c r="I5" s="136" t="s">
        <v>49</v>
      </c>
      <c r="J5" s="137" t="s">
        <v>46</v>
      </c>
      <c r="K5" s="137" t="s">
        <v>27</v>
      </c>
      <c r="L5" s="137" t="s">
        <v>27</v>
      </c>
      <c r="M5" s="138" t="s">
        <v>35</v>
      </c>
      <c r="N5" s="59"/>
    </row>
    <row r="6" spans="1:14" s="2" customFormat="1" ht="30" customHeight="1" thickBot="1">
      <c r="A6" s="131">
        <v>3</v>
      </c>
      <c r="B6" s="132">
        <v>42148</v>
      </c>
      <c r="C6" s="137" t="s">
        <v>19</v>
      </c>
      <c r="D6" s="138" t="s">
        <v>20</v>
      </c>
      <c r="E6" s="137" t="s">
        <v>25</v>
      </c>
      <c r="F6" s="137" t="s">
        <v>32</v>
      </c>
      <c r="G6" s="137" t="s">
        <v>39</v>
      </c>
      <c r="H6" s="139" t="s">
        <v>20</v>
      </c>
      <c r="I6" s="136" t="s">
        <v>49</v>
      </c>
      <c r="J6" s="137" t="s">
        <v>93</v>
      </c>
      <c r="K6" s="137" t="s">
        <v>29</v>
      </c>
      <c r="L6" s="137" t="s">
        <v>92</v>
      </c>
      <c r="M6" s="138" t="s">
        <v>28</v>
      </c>
      <c r="N6" s="59"/>
    </row>
    <row r="7" spans="1:14" s="2" customFormat="1" ht="30" customHeight="1" thickBot="1">
      <c r="A7" s="131">
        <v>4</v>
      </c>
      <c r="B7" s="132" t="s">
        <v>94</v>
      </c>
      <c r="C7" s="137" t="s">
        <v>55</v>
      </c>
      <c r="D7" s="138" t="s">
        <v>20</v>
      </c>
      <c r="E7" s="137" t="s">
        <v>25</v>
      </c>
      <c r="F7" s="137" t="s">
        <v>20</v>
      </c>
      <c r="G7" s="137" t="s">
        <v>32</v>
      </c>
      <c r="H7" s="135" t="s">
        <v>91</v>
      </c>
      <c r="I7" s="136" t="s">
        <v>49</v>
      </c>
      <c r="J7" s="139" t="s">
        <v>21</v>
      </c>
      <c r="K7" s="140" t="s">
        <v>27</v>
      </c>
      <c r="L7" s="137" t="s">
        <v>27</v>
      </c>
      <c r="M7" s="138" t="s">
        <v>35</v>
      </c>
      <c r="N7" s="59"/>
    </row>
    <row r="8" spans="1:14" s="30" customFormat="1" ht="30" customHeight="1" thickBot="1">
      <c r="A8" s="131">
        <v>5</v>
      </c>
      <c r="B8" s="132">
        <v>42190</v>
      </c>
      <c r="C8" s="137" t="s">
        <v>19</v>
      </c>
      <c r="D8" s="138" t="s">
        <v>20</v>
      </c>
      <c r="E8" s="140" t="s">
        <v>22</v>
      </c>
      <c r="F8" s="137" t="s">
        <v>23</v>
      </c>
      <c r="G8" s="137" t="s">
        <v>32</v>
      </c>
      <c r="H8" s="139" t="s">
        <v>20</v>
      </c>
      <c r="I8" s="136" t="s">
        <v>49</v>
      </c>
      <c r="J8" s="137" t="s">
        <v>29</v>
      </c>
      <c r="K8" s="137" t="s">
        <v>25</v>
      </c>
      <c r="L8" s="137"/>
      <c r="M8" s="138" t="s">
        <v>28</v>
      </c>
      <c r="N8" s="93"/>
    </row>
    <row r="9" spans="1:14" s="2" customFormat="1" ht="30" customHeight="1" thickBot="1">
      <c r="A9" s="131">
        <v>6</v>
      </c>
      <c r="B9" s="132">
        <v>42218</v>
      </c>
      <c r="C9" s="137" t="s">
        <v>19</v>
      </c>
      <c r="D9" s="138" t="s">
        <v>20</v>
      </c>
      <c r="E9" s="137" t="s">
        <v>46</v>
      </c>
      <c r="F9" s="137" t="s">
        <v>32</v>
      </c>
      <c r="G9" s="137" t="s">
        <v>22</v>
      </c>
      <c r="H9" s="139" t="s">
        <v>20</v>
      </c>
      <c r="I9" s="136" t="s">
        <v>49</v>
      </c>
      <c r="J9" s="137" t="s">
        <v>27</v>
      </c>
      <c r="K9" s="137" t="s">
        <v>25</v>
      </c>
      <c r="L9" s="137" t="s">
        <v>27</v>
      </c>
      <c r="M9" s="138" t="s">
        <v>28</v>
      </c>
      <c r="N9" s="59"/>
    </row>
    <row r="10" spans="1:14" s="2" customFormat="1" ht="30" customHeight="1" thickBot="1">
      <c r="A10" s="131">
        <v>7</v>
      </c>
      <c r="B10" s="132">
        <v>42253</v>
      </c>
      <c r="C10" s="137" t="s">
        <v>19</v>
      </c>
      <c r="D10" s="138" t="s">
        <v>20</v>
      </c>
      <c r="E10" s="141" t="s">
        <v>29</v>
      </c>
      <c r="F10" s="137" t="s">
        <v>39</v>
      </c>
      <c r="G10" s="137" t="s">
        <v>22</v>
      </c>
      <c r="H10" s="139" t="s">
        <v>20</v>
      </c>
      <c r="I10" s="140" t="s">
        <v>49</v>
      </c>
      <c r="J10" s="141" t="s">
        <v>27</v>
      </c>
      <c r="K10" s="137" t="s">
        <v>49</v>
      </c>
      <c r="L10" s="141" t="s">
        <v>27</v>
      </c>
      <c r="M10" s="138" t="s">
        <v>28</v>
      </c>
      <c r="N10" s="59"/>
    </row>
    <row r="11" spans="1:14" s="2" customFormat="1" ht="30" customHeight="1" thickBot="1">
      <c r="A11" s="131">
        <v>8</v>
      </c>
      <c r="B11" s="132">
        <v>42274</v>
      </c>
      <c r="C11" s="137" t="s">
        <v>19</v>
      </c>
      <c r="D11" s="138" t="s">
        <v>20</v>
      </c>
      <c r="E11" s="141" t="s">
        <v>25</v>
      </c>
      <c r="F11" s="141" t="s">
        <v>39</v>
      </c>
      <c r="G11" s="137" t="s">
        <v>22</v>
      </c>
      <c r="H11" s="139" t="s">
        <v>20</v>
      </c>
      <c r="I11" s="136" t="s">
        <v>49</v>
      </c>
      <c r="J11" s="141" t="s">
        <v>27</v>
      </c>
      <c r="K11" s="142" t="s">
        <v>26</v>
      </c>
      <c r="L11" s="143" t="s">
        <v>27</v>
      </c>
      <c r="M11" s="138" t="s">
        <v>28</v>
      </c>
      <c r="N11" s="59"/>
    </row>
    <row r="12" spans="1:14" s="2" customFormat="1" ht="30" customHeight="1" thickBot="1">
      <c r="A12" s="144">
        <v>9</v>
      </c>
      <c r="B12" s="145">
        <v>42288</v>
      </c>
      <c r="C12" s="146" t="s">
        <v>19</v>
      </c>
      <c r="D12" s="147" t="s">
        <v>20</v>
      </c>
      <c r="E12" s="148" t="s">
        <v>21</v>
      </c>
      <c r="F12" s="148" t="s">
        <v>39</v>
      </c>
      <c r="G12" s="149"/>
      <c r="H12" s="150" t="s">
        <v>20</v>
      </c>
      <c r="I12" s="151"/>
      <c r="J12" s="118" t="s">
        <v>27</v>
      </c>
      <c r="K12" s="119" t="s">
        <v>49</v>
      </c>
      <c r="L12" s="148" t="s">
        <v>27</v>
      </c>
      <c r="M12" s="147" t="s">
        <v>28</v>
      </c>
      <c r="N12" s="59"/>
    </row>
    <row r="13" spans="1:14" ht="13.5" thickBot="1">
      <c r="A13" s="46"/>
      <c r="B13" s="47"/>
      <c r="C13" s="48"/>
      <c r="D13" s="48"/>
      <c r="E13" s="49"/>
      <c r="F13" s="123" t="s">
        <v>66</v>
      </c>
      <c r="G13" s="49"/>
      <c r="H13" s="123" t="s">
        <v>67</v>
      </c>
      <c r="I13" s="48"/>
      <c r="J13" s="59"/>
      <c r="K13" s="93"/>
      <c r="L13" s="48"/>
      <c r="M13" s="48"/>
      <c r="N13" s="48"/>
    </row>
    <row r="14" spans="1:14" ht="13.5" thickBot="1">
      <c r="A14" s="52"/>
      <c r="B14" s="53"/>
      <c r="C14" s="48"/>
      <c r="D14" s="48"/>
      <c r="E14" s="49"/>
      <c r="F14" s="124" t="s">
        <v>20</v>
      </c>
      <c r="G14" s="49"/>
      <c r="H14" s="125" t="s">
        <v>20</v>
      </c>
      <c r="I14" s="48"/>
      <c r="J14" s="48"/>
      <c r="K14" s="48"/>
      <c r="L14" s="48"/>
      <c r="M14" s="48"/>
      <c r="N14" s="48"/>
    </row>
    <row r="15" spans="1:14">
      <c r="A15" s="52"/>
      <c r="B15" s="56"/>
      <c r="C15" s="48"/>
      <c r="D15" s="48"/>
      <c r="E15" s="49"/>
      <c r="F15" s="126" t="s">
        <v>23</v>
      </c>
      <c r="G15" s="48"/>
      <c r="H15" s="48"/>
      <c r="I15" s="48"/>
      <c r="J15" s="48"/>
      <c r="K15" s="48"/>
      <c r="L15" s="48"/>
      <c r="M15" s="48"/>
      <c r="N15" s="48"/>
    </row>
    <row r="16" spans="1:14">
      <c r="A16" s="52"/>
      <c r="B16" s="56"/>
      <c r="C16" s="48"/>
      <c r="D16" s="48"/>
      <c r="E16" s="49"/>
      <c r="F16" s="126" t="s">
        <v>32</v>
      </c>
      <c r="G16" s="48"/>
      <c r="H16" s="48"/>
      <c r="I16" s="48"/>
      <c r="J16" s="48"/>
      <c r="K16" s="48"/>
      <c r="L16" s="48"/>
      <c r="M16" s="48"/>
      <c r="N16" s="48"/>
    </row>
    <row r="17" spans="1:14">
      <c r="A17" s="52"/>
      <c r="B17" s="56"/>
      <c r="C17" s="48"/>
      <c r="D17" s="48"/>
      <c r="E17" s="49"/>
      <c r="F17" s="60" t="s">
        <v>39</v>
      </c>
      <c r="G17" s="48"/>
      <c r="H17" s="48"/>
      <c r="I17" s="48"/>
      <c r="J17" s="48"/>
      <c r="K17" s="48"/>
      <c r="L17" s="48"/>
      <c r="M17" s="48"/>
      <c r="N17" s="48"/>
    </row>
    <row r="18" spans="1:14" ht="13.5" thickBot="1">
      <c r="A18" s="52"/>
      <c r="B18" s="56"/>
      <c r="C18" s="48"/>
      <c r="D18" s="48"/>
      <c r="E18" s="49"/>
      <c r="F18" s="127" t="s">
        <v>22</v>
      </c>
      <c r="G18" s="48"/>
      <c r="H18" s="48"/>
      <c r="I18" s="48"/>
      <c r="J18" s="48"/>
      <c r="K18" s="48"/>
      <c r="L18" s="48"/>
      <c r="M18" s="48"/>
      <c r="N18" s="48"/>
    </row>
    <row r="19" spans="1:14">
      <c r="A19" s="52"/>
      <c r="B19" s="59"/>
      <c r="C19" s="48"/>
      <c r="D19" s="48"/>
      <c r="E19" s="48"/>
      <c r="F19" s="128" t="s">
        <v>27</v>
      </c>
      <c r="G19" s="48"/>
      <c r="H19" s="48"/>
      <c r="I19" s="48"/>
      <c r="J19" s="48"/>
      <c r="K19" s="48"/>
      <c r="L19" s="48"/>
      <c r="M19" s="48"/>
      <c r="N19" s="48"/>
    </row>
    <row r="20" spans="1:14">
      <c r="A20" s="52"/>
      <c r="B20" s="59"/>
      <c r="C20" s="48"/>
      <c r="D20" s="48"/>
      <c r="E20" s="48"/>
      <c r="F20" s="128" t="s">
        <v>46</v>
      </c>
      <c r="G20" s="48"/>
      <c r="H20" s="48"/>
      <c r="I20" s="48"/>
      <c r="J20" s="48"/>
      <c r="K20" s="48"/>
      <c r="L20" s="48"/>
      <c r="M20" s="48"/>
      <c r="N20" s="48"/>
    </row>
  </sheetData>
  <pageMargins left="0.39" right="0.41" top="1" bottom="1" header="0.5" footer="0.5"/>
  <headerFooter>
    <oddHeader>&amp;F</oddHeader>
    <oddFooter>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19"/>
  <sheetViews>
    <sheetView showGridLines="0" workbookViewId="0"/>
  </sheetViews>
  <sheetFormatPr defaultRowHeight="12.75"/>
  <cols>
    <col min="1" max="1" width="5.85546875" style="1" customWidth="1"/>
    <col min="2" max="2" width="14.85546875" style="2" customWidth="1"/>
    <col min="3" max="3" width="10" style="1" customWidth="1"/>
    <col min="4" max="4" width="11" style="1" customWidth="1"/>
    <col min="5" max="5" width="10.85546875" style="1" customWidth="1"/>
    <col min="6" max="8" width="11" style="1" customWidth="1"/>
    <col min="9" max="9" width="11.28515625" style="1" customWidth="1"/>
    <col min="10" max="10" width="10.42578125" style="1" customWidth="1"/>
    <col min="11" max="11" width="11.28515625" style="1" customWidth="1"/>
    <col min="12" max="12" width="11" style="1" customWidth="1"/>
    <col min="13" max="13" width="8.42578125" style="1" customWidth="1"/>
    <col min="14" max="16384" width="9.140625" style="1"/>
  </cols>
  <sheetData>
    <row r="1" spans="1:14" s="3" customFormat="1" ht="15.75">
      <c r="A1" s="62" t="s">
        <v>0</v>
      </c>
      <c r="B1" s="63"/>
      <c r="C1" s="63"/>
      <c r="D1" s="63"/>
      <c r="E1" s="63"/>
      <c r="F1" s="63"/>
      <c r="G1" s="152"/>
      <c r="H1" s="65" t="s">
        <v>95</v>
      </c>
      <c r="I1" s="65"/>
      <c r="J1" s="65"/>
      <c r="K1" s="65"/>
      <c r="L1" s="65"/>
      <c r="M1" s="64"/>
      <c r="N1" s="7"/>
    </row>
    <row r="2" spans="1:14" s="3" customFormat="1" ht="16.5" thickBot="1">
      <c r="A2" s="153"/>
      <c r="B2" s="154" t="s">
        <v>2</v>
      </c>
      <c r="C2" s="154"/>
      <c r="D2" s="154"/>
      <c r="E2" s="154"/>
      <c r="F2" s="154"/>
      <c r="G2" s="155"/>
      <c r="H2" s="156"/>
      <c r="I2" s="157"/>
      <c r="J2" s="157"/>
      <c r="K2" s="157"/>
      <c r="L2" s="157"/>
      <c r="M2" s="155"/>
      <c r="N2" s="72"/>
    </row>
    <row r="3" spans="1:14" s="2" customFormat="1" ht="39" thickBot="1">
      <c r="A3" s="158" t="s">
        <v>4</v>
      </c>
      <c r="B3" s="159" t="s">
        <v>5</v>
      </c>
      <c r="C3" s="160" t="s">
        <v>6</v>
      </c>
      <c r="D3" s="161" t="s">
        <v>7</v>
      </c>
      <c r="E3" s="158" t="s">
        <v>8</v>
      </c>
      <c r="F3" s="160" t="s">
        <v>9</v>
      </c>
      <c r="G3" s="161" t="s">
        <v>10</v>
      </c>
      <c r="H3" s="162" t="s">
        <v>11</v>
      </c>
      <c r="I3" s="163" t="s">
        <v>12</v>
      </c>
      <c r="J3" s="164" t="s">
        <v>13</v>
      </c>
      <c r="K3" s="165" t="s">
        <v>14</v>
      </c>
      <c r="L3" s="165" t="s">
        <v>15</v>
      </c>
      <c r="M3" s="166" t="s">
        <v>16</v>
      </c>
      <c r="N3" s="59"/>
    </row>
    <row r="4" spans="1:14" s="2" customFormat="1" ht="30" customHeight="1">
      <c r="A4" s="167">
        <v>1</v>
      </c>
      <c r="B4" s="168">
        <v>41756</v>
      </c>
      <c r="C4" s="169" t="s">
        <v>38</v>
      </c>
      <c r="D4" s="170" t="s">
        <v>39</v>
      </c>
      <c r="E4" s="169" t="s">
        <v>20</v>
      </c>
      <c r="F4" s="169" t="s">
        <v>39</v>
      </c>
      <c r="G4" s="169" t="s">
        <v>32</v>
      </c>
      <c r="H4" s="171" t="s">
        <v>91</v>
      </c>
      <c r="I4" s="172" t="s">
        <v>49</v>
      </c>
      <c r="J4" s="172" t="s">
        <v>46</v>
      </c>
      <c r="K4" s="169" t="s">
        <v>25</v>
      </c>
      <c r="L4" s="169" t="s">
        <v>20</v>
      </c>
      <c r="M4" s="170" t="s">
        <v>96</v>
      </c>
      <c r="N4" s="59"/>
    </row>
    <row r="5" spans="1:14" s="2" customFormat="1" ht="30" customHeight="1">
      <c r="A5" s="173">
        <v>2</v>
      </c>
      <c r="B5" s="174">
        <v>41784</v>
      </c>
      <c r="C5" s="93" t="s">
        <v>38</v>
      </c>
      <c r="D5" s="98" t="s">
        <v>39</v>
      </c>
      <c r="E5" s="93" t="s">
        <v>20</v>
      </c>
      <c r="F5" s="93" t="s">
        <v>23</v>
      </c>
      <c r="G5" s="93" t="s">
        <v>20</v>
      </c>
      <c r="H5" s="175" t="s">
        <v>91</v>
      </c>
      <c r="I5" s="93" t="s">
        <v>49</v>
      </c>
      <c r="J5" s="93" t="s">
        <v>97</v>
      </c>
      <c r="K5" s="93" t="s">
        <v>26</v>
      </c>
      <c r="L5" s="93" t="s">
        <v>23</v>
      </c>
      <c r="M5" s="98" t="s">
        <v>96</v>
      </c>
      <c r="N5" s="59"/>
    </row>
    <row r="6" spans="1:14" s="2" customFormat="1" ht="30" customHeight="1">
      <c r="A6" s="173">
        <v>3</v>
      </c>
      <c r="B6" s="174">
        <v>41805</v>
      </c>
      <c r="C6" s="93" t="s">
        <v>98</v>
      </c>
      <c r="D6" s="98" t="s">
        <v>20</v>
      </c>
      <c r="E6" s="93" t="s">
        <v>92</v>
      </c>
      <c r="F6" s="93" t="s">
        <v>32</v>
      </c>
      <c r="G6" s="93" t="s">
        <v>39</v>
      </c>
      <c r="H6" s="175" t="s">
        <v>91</v>
      </c>
      <c r="I6" s="93" t="s">
        <v>49</v>
      </c>
      <c r="J6" s="93" t="s">
        <v>26</v>
      </c>
      <c r="K6" s="96" t="s">
        <v>99</v>
      </c>
      <c r="L6" s="91" t="s">
        <v>92</v>
      </c>
      <c r="M6" s="98" t="s">
        <v>92</v>
      </c>
      <c r="N6" s="59"/>
    </row>
    <row r="7" spans="1:14" s="2" customFormat="1" ht="30" customHeight="1">
      <c r="A7" s="173">
        <v>4</v>
      </c>
      <c r="B7" s="174">
        <v>41826</v>
      </c>
      <c r="C7" s="93" t="s">
        <v>100</v>
      </c>
      <c r="D7" s="98" t="s">
        <v>25</v>
      </c>
      <c r="E7" s="93" t="s">
        <v>25</v>
      </c>
      <c r="F7" s="93" t="s">
        <v>20</v>
      </c>
      <c r="G7" s="93" t="s">
        <v>39</v>
      </c>
      <c r="H7" s="175" t="s">
        <v>91</v>
      </c>
      <c r="I7" s="93" t="s">
        <v>101</v>
      </c>
      <c r="J7" s="96" t="s">
        <v>99</v>
      </c>
      <c r="K7" s="91" t="s">
        <v>102</v>
      </c>
      <c r="L7" s="93" t="s">
        <v>20</v>
      </c>
      <c r="M7" s="98" t="s">
        <v>103</v>
      </c>
      <c r="N7" s="59"/>
    </row>
    <row r="8" spans="1:14" s="30" customFormat="1" ht="30" customHeight="1">
      <c r="A8" s="173">
        <v>5</v>
      </c>
      <c r="B8" s="174">
        <v>41846</v>
      </c>
      <c r="C8" s="93" t="s">
        <v>55</v>
      </c>
      <c r="D8" s="98" t="s">
        <v>92</v>
      </c>
      <c r="E8" s="93" t="s">
        <v>29</v>
      </c>
      <c r="F8" s="93" t="s">
        <v>39</v>
      </c>
      <c r="G8" s="93" t="s">
        <v>32</v>
      </c>
      <c r="H8" s="175" t="s">
        <v>91</v>
      </c>
      <c r="I8" s="93" t="s">
        <v>25</v>
      </c>
      <c r="J8" s="93" t="s">
        <v>102</v>
      </c>
      <c r="K8" s="93" t="s">
        <v>27</v>
      </c>
      <c r="L8" s="93" t="s">
        <v>29</v>
      </c>
      <c r="M8" s="98" t="s">
        <v>96</v>
      </c>
      <c r="N8" s="93"/>
    </row>
    <row r="9" spans="1:14" s="2" customFormat="1" ht="30" customHeight="1">
      <c r="A9" s="173">
        <v>6</v>
      </c>
      <c r="B9" s="174">
        <v>41868</v>
      </c>
      <c r="C9" s="93" t="s">
        <v>100</v>
      </c>
      <c r="D9" s="98" t="s">
        <v>25</v>
      </c>
      <c r="E9" s="93" t="s">
        <v>25</v>
      </c>
      <c r="F9" s="93" t="s">
        <v>32</v>
      </c>
      <c r="G9" s="93" t="s">
        <v>20</v>
      </c>
      <c r="H9" s="175" t="s">
        <v>91</v>
      </c>
      <c r="I9" s="93" t="s">
        <v>20</v>
      </c>
      <c r="J9" s="93" t="s">
        <v>39</v>
      </c>
      <c r="K9" s="93" t="s">
        <v>26</v>
      </c>
      <c r="L9" s="93" t="s">
        <v>23</v>
      </c>
      <c r="M9" s="98" t="s">
        <v>103</v>
      </c>
      <c r="N9" s="59"/>
    </row>
    <row r="10" spans="1:14" s="2" customFormat="1" ht="30" customHeight="1">
      <c r="A10" s="176">
        <v>7</v>
      </c>
      <c r="B10" s="174">
        <v>41882</v>
      </c>
      <c r="C10" s="93" t="s">
        <v>38</v>
      </c>
      <c r="D10" s="98" t="s">
        <v>39</v>
      </c>
      <c r="E10" s="93" t="s">
        <v>29</v>
      </c>
      <c r="F10" s="93" t="s">
        <v>39</v>
      </c>
      <c r="G10" s="93" t="s">
        <v>20</v>
      </c>
      <c r="H10" s="175" t="s">
        <v>91</v>
      </c>
      <c r="I10" s="93" t="s">
        <v>46</v>
      </c>
      <c r="J10" s="93" t="s">
        <v>25</v>
      </c>
      <c r="K10" s="93" t="s">
        <v>99</v>
      </c>
      <c r="L10" s="93" t="s">
        <v>92</v>
      </c>
      <c r="M10" s="98" t="s">
        <v>96</v>
      </c>
      <c r="N10" s="59"/>
    </row>
    <row r="11" spans="1:14" s="2" customFormat="1" ht="30" customHeight="1">
      <c r="A11" s="176">
        <v>8</v>
      </c>
      <c r="B11" s="174">
        <v>41903</v>
      </c>
      <c r="C11" s="93" t="s">
        <v>100</v>
      </c>
      <c r="D11" s="98" t="s">
        <v>25</v>
      </c>
      <c r="E11" s="93" t="s">
        <v>49</v>
      </c>
      <c r="F11" s="93" t="s">
        <v>20</v>
      </c>
      <c r="G11" s="93" t="s">
        <v>23</v>
      </c>
      <c r="H11" s="175" t="s">
        <v>91</v>
      </c>
      <c r="I11" s="93" t="s">
        <v>25</v>
      </c>
      <c r="J11" s="93" t="s">
        <v>26</v>
      </c>
      <c r="K11" s="96" t="s">
        <v>99</v>
      </c>
      <c r="L11" s="91" t="s">
        <v>49</v>
      </c>
      <c r="M11" s="98" t="s">
        <v>49</v>
      </c>
      <c r="N11" s="59"/>
    </row>
    <row r="12" spans="1:14" s="2" customFormat="1" ht="30" customHeight="1">
      <c r="A12" s="176">
        <v>9</v>
      </c>
      <c r="B12" s="174">
        <v>41924</v>
      </c>
      <c r="C12" s="93" t="s">
        <v>98</v>
      </c>
      <c r="D12" s="98" t="s">
        <v>92</v>
      </c>
      <c r="E12" s="93" t="s">
        <v>29</v>
      </c>
      <c r="F12" s="93" t="s">
        <v>20</v>
      </c>
      <c r="G12" s="93" t="s">
        <v>32</v>
      </c>
      <c r="H12" s="175" t="s">
        <v>91</v>
      </c>
      <c r="I12" s="93" t="s">
        <v>49</v>
      </c>
      <c r="J12" s="96" t="s">
        <v>99</v>
      </c>
      <c r="K12" s="91" t="s">
        <v>26</v>
      </c>
      <c r="L12" s="93" t="s">
        <v>92</v>
      </c>
      <c r="M12" s="98" t="s">
        <v>29</v>
      </c>
      <c r="N12" s="59"/>
    </row>
    <row r="13" spans="1:14">
      <c r="A13" s="52"/>
      <c r="B13" s="56"/>
      <c r="C13" s="48"/>
      <c r="D13" s="48"/>
      <c r="E13" s="48"/>
      <c r="F13" s="48"/>
      <c r="G13" s="48"/>
      <c r="H13" s="48"/>
      <c r="I13" s="48"/>
      <c r="J13" s="59"/>
      <c r="K13" s="93"/>
      <c r="L13" s="48"/>
      <c r="M13" s="48"/>
      <c r="N13" s="48"/>
    </row>
    <row r="14" spans="1:14">
      <c r="A14" s="52"/>
      <c r="B14" s="56"/>
      <c r="C14" s="48"/>
      <c r="D14" s="48"/>
      <c r="E14" s="48"/>
      <c r="F14" s="48" t="s">
        <v>20</v>
      </c>
      <c r="G14" s="48"/>
      <c r="H14" s="48"/>
      <c r="I14" s="48"/>
      <c r="J14" s="48"/>
      <c r="K14" s="48"/>
      <c r="L14" s="48"/>
      <c r="M14" s="48"/>
      <c r="N14" s="48"/>
    </row>
    <row r="15" spans="1:14">
      <c r="A15" s="52"/>
      <c r="B15" s="56"/>
      <c r="C15" s="48"/>
      <c r="D15" s="48"/>
      <c r="E15" s="48"/>
      <c r="F15" s="48" t="s">
        <v>23</v>
      </c>
      <c r="G15" s="48"/>
      <c r="H15" s="48" t="s">
        <v>20</v>
      </c>
      <c r="I15" s="48"/>
      <c r="J15" s="48"/>
      <c r="K15" s="48"/>
      <c r="L15" s="48"/>
      <c r="M15" s="48"/>
      <c r="N15" s="48"/>
    </row>
    <row r="16" spans="1:14">
      <c r="A16" s="52"/>
      <c r="B16" s="56"/>
      <c r="C16" s="48"/>
      <c r="D16" s="48"/>
      <c r="E16" s="48"/>
      <c r="F16" s="48" t="s">
        <v>101</v>
      </c>
      <c r="G16" s="48"/>
      <c r="H16" s="48"/>
      <c r="I16" s="48"/>
      <c r="J16" s="48"/>
      <c r="K16" s="48"/>
      <c r="L16" s="48"/>
      <c r="M16" s="48"/>
      <c r="N16" s="48"/>
    </row>
    <row r="17" spans="1:14">
      <c r="A17" s="52"/>
      <c r="B17" s="56"/>
      <c r="C17" s="48"/>
      <c r="D17" s="48"/>
      <c r="E17" s="48"/>
      <c r="F17" s="48" t="s">
        <v>32</v>
      </c>
      <c r="G17" s="48"/>
      <c r="H17" s="48"/>
      <c r="I17" s="48"/>
      <c r="J17" s="48"/>
      <c r="K17" s="48"/>
      <c r="L17" s="48"/>
      <c r="M17" s="48"/>
      <c r="N17" s="48"/>
    </row>
    <row r="18" spans="1:14">
      <c r="A18" s="52"/>
      <c r="B18" s="56"/>
      <c r="C18" s="48"/>
      <c r="D18" s="48"/>
      <c r="E18" s="48"/>
      <c r="F18" s="177" t="s">
        <v>39</v>
      </c>
      <c r="G18" s="48"/>
      <c r="H18" s="48"/>
      <c r="I18" s="48"/>
      <c r="J18" s="48"/>
      <c r="K18" s="48"/>
      <c r="L18" s="48"/>
      <c r="M18" s="48"/>
      <c r="N18" s="48"/>
    </row>
    <row r="19" spans="1:14">
      <c r="A19" s="52"/>
      <c r="B19" s="56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</sheetData>
  <pageMargins left="0.39" right="0.41" top="1" bottom="1" header="0.5" footer="0.5"/>
  <headerFooter>
    <oddHeader>&amp;F</oddHeader>
    <oddFooter>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2.75"/>
  <sheetData>
    <row r="1" spans="1:1">
      <c r="A1" s="1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2018 Working Schedule</vt:lpstr>
      <vt:lpstr>2018_Calendar</vt:lpstr>
      <vt:lpstr>2017_Schedule_</vt:lpstr>
      <vt:lpstr>2017_Schedule</vt:lpstr>
      <vt:lpstr>2017 Working Schedule</vt:lpstr>
      <vt:lpstr>2016 Schedule</vt:lpstr>
      <vt:lpstr>Working 2016 Schedule</vt:lpstr>
      <vt:lpstr>2015 Schedule</vt:lpstr>
      <vt:lpstr>2014 Schedule</vt:lpstr>
      <vt:lpstr>Sheet1</vt:lpstr>
      <vt:lpstr>'2016 Schedule'!Print_Area</vt:lpstr>
      <vt:lpstr>'2017 Working Schedule'!Print_Area</vt:lpstr>
      <vt:lpstr>'2017_Schedule'!Print_Area</vt:lpstr>
      <vt:lpstr>'2017_Schedule_'!Print_Area</vt:lpstr>
      <vt:lpstr>'2018 Working Schedule'!Print_Area</vt:lpstr>
      <vt:lpstr>'2018_Calendar'!Print_Area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SCCA GRR Event Schedule and Duties</dc:title>
  <dc:creator>Michael Whitney</dc:creator>
  <cp:lastModifiedBy>Desktop</cp:lastModifiedBy>
  <cp:lastPrinted>2018-06-11T23:11:15Z</cp:lastPrinted>
  <dcterms:created xsi:type="dcterms:W3CDTF">2016-06-25T01:24:29Z</dcterms:created>
  <dcterms:modified xsi:type="dcterms:W3CDTF">2018-06-21T14:34:16Z</dcterms:modified>
</cp:coreProperties>
</file>