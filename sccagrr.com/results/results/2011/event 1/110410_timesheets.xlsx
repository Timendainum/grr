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12" yWindow="-12" windowWidth="14532" windowHeight="5952" tabRatio="827" activeTab="1"/>
  </bookViews>
  <sheets>
    <sheet name="Regular and Novice Classes" sheetId="16" r:id="rId1"/>
    <sheet name="Street Tire Class" sheetId="15" r:id="rId2"/>
    <sheet name="Ladies Class" sheetId="17" r:id="rId3"/>
  </sheets>
  <calcPr calcId="125725"/>
  <customWorkbookViews>
    <customWorkbookView name="Time Entry" guid="{72E19A80-612D-4995-BBFE-CA5405365CC0}" includePrintSettings="0" xWindow="5" yWindow="35" windowWidth="1376" windowHeight="765" activeSheetId="1"/>
    <customWorkbookView name="Participant Entry" guid="{3E0CD0AB-A4D2-410F-B786-BAD14C62038E}" includePrintSettings="0" xWindow="5" yWindow="35" windowWidth="1376" windowHeight="765" activeSheetId="1"/>
  </customWorkbookViews>
</workbook>
</file>

<file path=xl/calcChain.xml><?xml version="1.0" encoding="utf-8"?>
<calcChain xmlns="http://schemas.openxmlformats.org/spreadsheetml/2006/main">
  <c r="Z30" i="16"/>
  <c r="Z29"/>
  <c r="Z37"/>
  <c r="Z34"/>
  <c r="Z28"/>
  <c r="Z27"/>
  <c r="Z24"/>
  <c r="Z20"/>
  <c r="Z17"/>
  <c r="Z14"/>
  <c r="Z10"/>
  <c r="Z9"/>
  <c r="Z47"/>
</calcChain>
</file>

<file path=xl/sharedStrings.xml><?xml version="1.0" encoding="utf-8"?>
<sst xmlns="http://schemas.openxmlformats.org/spreadsheetml/2006/main" count="383" uniqueCount="110">
  <si>
    <t>AM</t>
  </si>
  <si>
    <t>AS</t>
  </si>
  <si>
    <t>BP</t>
  </si>
  <si>
    <t>BS</t>
  </si>
  <si>
    <t>CS</t>
  </si>
  <si>
    <t>DS</t>
  </si>
  <si>
    <t>EM</t>
  </si>
  <si>
    <t>ES</t>
  </si>
  <si>
    <t>FSP</t>
  </si>
  <si>
    <t>FS</t>
  </si>
  <si>
    <t>STS</t>
  </si>
  <si>
    <t>HS</t>
  </si>
  <si>
    <t>SM</t>
  </si>
  <si>
    <t>Driver</t>
  </si>
  <si>
    <t>Ladies</t>
  </si>
  <si>
    <t>Street Tire</t>
  </si>
  <si>
    <t>FTD</t>
  </si>
  <si>
    <t>FITD</t>
  </si>
  <si>
    <t>P</t>
  </si>
  <si>
    <t>Total</t>
  </si>
  <si>
    <t>Vehicle
(Make, Model, Yr)</t>
  </si>
  <si>
    <t>Class for this event</t>
  </si>
  <si>
    <t>SY
Points</t>
  </si>
  <si>
    <t>Street
Tire
Points</t>
  </si>
  <si>
    <t>Ladies
Points</t>
  </si>
  <si>
    <t>Class
Points</t>
  </si>
  <si>
    <t>Class Entered</t>
  </si>
  <si>
    <t>Cindyann Whitney</t>
  </si>
  <si>
    <t>N</t>
  </si>
  <si>
    <t>Gary Patch</t>
  </si>
  <si>
    <t>RTP</t>
  </si>
  <si>
    <t>B</t>
  </si>
  <si>
    <t>Jason Green</t>
  </si>
  <si>
    <t>Erik Shreiner</t>
  </si>
  <si>
    <t>Randy Tone</t>
  </si>
  <si>
    <t>Don Holzer</t>
  </si>
  <si>
    <t>XP</t>
  </si>
  <si>
    <t>Hidden column for sorting novice and bumped to bottom.</t>
  </si>
  <si>
    <t>91 Miata</t>
  </si>
  <si>
    <t>03 SVT Focus</t>
  </si>
  <si>
    <t>Mike Whitney</t>
  </si>
  <si>
    <t>Bill Porter</t>
  </si>
  <si>
    <t>72 Corvette</t>
  </si>
  <si>
    <t>Ken Kozol</t>
  </si>
  <si>
    <t>06 MS Mazda 6</t>
  </si>
  <si>
    <t>Merle Jensen</t>
  </si>
  <si>
    <t>Alex Haugen</t>
  </si>
  <si>
    <t>Ed York</t>
  </si>
  <si>
    <t>Steve Slininger</t>
  </si>
  <si>
    <t>04 MS Miata</t>
  </si>
  <si>
    <t>Mike Holzinger</t>
  </si>
  <si>
    <t>Bob Griffing</t>
  </si>
  <si>
    <t>84 Ranger</t>
  </si>
  <si>
    <t>ST</t>
  </si>
  <si>
    <t>SSM</t>
  </si>
  <si>
    <t>89 Trash Am</t>
  </si>
  <si>
    <t>Glenn Campbell</t>
  </si>
  <si>
    <t>Patrick Doubet</t>
  </si>
  <si>
    <t>Matt Doubet</t>
  </si>
  <si>
    <t>2009 Neutrino ft1</t>
  </si>
  <si>
    <t>Barry Packer</t>
  </si>
  <si>
    <t>Tom Fredericks</t>
  </si>
  <si>
    <t>Mark Doubet</t>
  </si>
  <si>
    <t xml:space="preserve">78 Austin Mini </t>
  </si>
  <si>
    <t>88 Fiero</t>
  </si>
  <si>
    <t>Chris Austin</t>
  </si>
  <si>
    <t>05 elise</t>
  </si>
  <si>
    <t>Peter Schaeffer</t>
  </si>
  <si>
    <t>65 Lotus Elan</t>
  </si>
  <si>
    <t>94 Toyota Celica</t>
  </si>
  <si>
    <t>Rene Richard</t>
  </si>
  <si>
    <t>04 S2000</t>
  </si>
  <si>
    <t>Jerry Richard</t>
  </si>
  <si>
    <t>Steve Schaeffer</t>
  </si>
  <si>
    <t>Adam Moore</t>
  </si>
  <si>
    <t>01 Corvette</t>
  </si>
  <si>
    <t>09 Cooper S</t>
  </si>
  <si>
    <t>04 Miata</t>
  </si>
  <si>
    <t>06 Miata</t>
  </si>
  <si>
    <t>98 Mustang</t>
  </si>
  <si>
    <t>Joseph Messenger</t>
  </si>
  <si>
    <t>08 Volks GTI</t>
  </si>
  <si>
    <t>Mel Edward</t>
  </si>
  <si>
    <t>01 Focus ZX3</t>
  </si>
  <si>
    <t>Rayce Christiansen</t>
  </si>
  <si>
    <t>97 Integra</t>
  </si>
  <si>
    <t>11 Evo</t>
  </si>
  <si>
    <t>11 Honda CRZ</t>
  </si>
  <si>
    <t>90 Miata</t>
  </si>
  <si>
    <t>Michael Woodard</t>
  </si>
  <si>
    <t>95 BMW M3</t>
  </si>
  <si>
    <t>Blade McQuiggin</t>
  </si>
  <si>
    <t>04 RX8</t>
  </si>
  <si>
    <t>Michael Myers</t>
  </si>
  <si>
    <t>87 Porshe</t>
  </si>
  <si>
    <t>Philip Heald</t>
  </si>
  <si>
    <t>02 Focus ZX2</t>
  </si>
  <si>
    <t>Scott Shumard</t>
  </si>
  <si>
    <t>07 MX5</t>
  </si>
  <si>
    <t>99 Miata</t>
  </si>
  <si>
    <t>dnf</t>
  </si>
  <si>
    <t>DNF</t>
  </si>
  <si>
    <t>dns</t>
  </si>
  <si>
    <t>Raw
(Time, DNF, DNS, DQ)</t>
  </si>
  <si>
    <t xml:space="preserve"> </t>
  </si>
  <si>
    <t>AAB</t>
  </si>
  <si>
    <t>AAA</t>
  </si>
  <si>
    <t>Novice Class</t>
  </si>
  <si>
    <t>Event 1 (see tabs at bottom for special classes)</t>
  </si>
  <si>
    <t>Bumped Class</t>
  </si>
</sst>
</file>

<file path=xl/styles.xml><?xml version="1.0" encoding="utf-8"?>
<styleSheet xmlns="http://schemas.openxmlformats.org/spreadsheetml/2006/main">
  <numFmts count="1">
    <numFmt numFmtId="167" formatCode="0.000"/>
  </numFmts>
  <fonts count="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43"/>
      <name val="Arial"/>
      <family val="2"/>
    </font>
    <font>
      <b/>
      <u/>
      <sz val="10"/>
      <color indexed="43"/>
      <name val="Arial"/>
      <family val="2"/>
    </font>
    <font>
      <sz val="8"/>
      <name val="Arial"/>
      <family val="2"/>
    </font>
    <font>
      <b/>
      <sz val="12"/>
      <color indexed="43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/>
    <xf numFmtId="0" fontId="1" fillId="0" borderId="0" xfId="0" applyFont="1" applyProtection="1"/>
    <xf numFmtId="0" fontId="3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 vertical="center" wrapText="1"/>
    </xf>
    <xf numFmtId="167" fontId="4" fillId="2" borderId="3" xfId="0" applyNumberFormat="1" applyFont="1" applyFill="1" applyBorder="1" applyAlignment="1" applyProtection="1">
      <alignment horizontal="center" vertical="center"/>
    </xf>
    <xf numFmtId="0" fontId="1" fillId="0" borderId="0" xfId="0" applyFont="1" applyProtection="1">
      <protection locked="0"/>
    </xf>
    <xf numFmtId="0" fontId="3" fillId="2" borderId="3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6" fillId="2" borderId="5" xfId="0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7" fontId="4" fillId="2" borderId="3" xfId="0" applyNumberFormat="1" applyFont="1" applyFill="1" applyBorder="1" applyAlignment="1" applyProtection="1">
      <alignment horizontal="center" vertical="center" wrapText="1"/>
    </xf>
    <xf numFmtId="0" fontId="0" fillId="3" borderId="9" xfId="0" applyFill="1" applyBorder="1" applyAlignment="1" applyProtection="1">
      <alignment horizontal="center"/>
      <protection locked="0"/>
    </xf>
    <xf numFmtId="0" fontId="2" fillId="3" borderId="10" xfId="0" applyFont="1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2" fillId="3" borderId="10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0" fillId="0" borderId="0" xfId="0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0" fillId="0" borderId="0" xfId="0" applyBorder="1" applyProtection="1"/>
    <xf numFmtId="167" fontId="0" fillId="3" borderId="11" xfId="0" applyNumberFormat="1" applyFill="1" applyBorder="1" applyProtection="1"/>
    <xf numFmtId="167" fontId="0" fillId="3" borderId="10" xfId="0" applyNumberFormat="1" applyFill="1" applyBorder="1" applyProtection="1"/>
    <xf numFmtId="1" fontId="0" fillId="3" borderId="10" xfId="0" applyNumberFormat="1" applyFill="1" applyBorder="1" applyProtection="1"/>
    <xf numFmtId="0" fontId="0" fillId="3" borderId="0" xfId="0" quotePrefix="1" applyFill="1" applyProtection="1">
      <protection locked="0"/>
    </xf>
    <xf numFmtId="0" fontId="0" fillId="3" borderId="9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2" fillId="3" borderId="0" xfId="0" applyFont="1" applyFill="1" applyProtection="1">
      <protection locked="0"/>
    </xf>
    <xf numFmtId="167" fontId="2" fillId="3" borderId="11" xfId="0" applyNumberFormat="1" applyFont="1" applyFill="1" applyBorder="1" applyProtection="1"/>
    <xf numFmtId="167" fontId="2" fillId="3" borderId="10" xfId="0" applyNumberFormat="1" applyFont="1" applyFill="1" applyBorder="1" applyProtection="1"/>
    <xf numFmtId="1" fontId="2" fillId="3" borderId="10" xfId="0" applyNumberFormat="1" applyFont="1" applyFill="1" applyBorder="1" applyProtection="1"/>
    <xf numFmtId="0" fontId="2" fillId="3" borderId="0" xfId="0" quotePrefix="1" applyFont="1" applyFill="1" applyProtection="1">
      <protection locked="0"/>
    </xf>
    <xf numFmtId="167" fontId="0" fillId="3" borderId="18" xfId="0" applyNumberFormat="1" applyFill="1" applyBorder="1" applyProtection="1"/>
    <xf numFmtId="167" fontId="0" fillId="3" borderId="17" xfId="0" applyNumberFormat="1" applyFill="1" applyBorder="1" applyProtection="1"/>
    <xf numFmtId="1" fontId="0" fillId="3" borderId="17" xfId="0" applyNumberFormat="1" applyFill="1" applyBorder="1" applyProtection="1"/>
    <xf numFmtId="0" fontId="7" fillId="3" borderId="0" xfId="0" applyFont="1" applyFill="1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167" fontId="0" fillId="3" borderId="9" xfId="0" applyNumberFormat="1" applyFill="1" applyBorder="1" applyProtection="1"/>
    <xf numFmtId="1" fontId="0" fillId="3" borderId="9" xfId="0" applyNumberFormat="1" applyFill="1" applyBorder="1" applyProtection="1"/>
    <xf numFmtId="0" fontId="8" fillId="3" borderId="10" xfId="0" applyFont="1" applyFill="1" applyBorder="1" applyProtection="1">
      <protection locked="0"/>
    </xf>
    <xf numFmtId="0" fontId="8" fillId="3" borderId="9" xfId="0" applyFont="1" applyFill="1" applyBorder="1" applyAlignment="1" applyProtection="1">
      <alignment horizontal="center"/>
      <protection locked="0"/>
    </xf>
    <xf numFmtId="167" fontId="8" fillId="3" borderId="11" xfId="0" applyNumberFormat="1" applyFont="1" applyFill="1" applyBorder="1" applyProtection="1"/>
    <xf numFmtId="167" fontId="8" fillId="3" borderId="10" xfId="0" applyNumberFormat="1" applyFont="1" applyFill="1" applyBorder="1" applyProtection="1"/>
    <xf numFmtId="1" fontId="8" fillId="3" borderId="10" xfId="0" applyNumberFormat="1" applyFont="1" applyFill="1" applyBorder="1" applyProtection="1"/>
    <xf numFmtId="0" fontId="8" fillId="3" borderId="0" xfId="0" applyFont="1" applyFill="1" applyProtection="1">
      <protection locked="0"/>
    </xf>
    <xf numFmtId="0" fontId="0" fillId="0" borderId="10" xfId="0" applyFill="1" applyBorder="1" applyProtection="1">
      <protection locked="0"/>
    </xf>
    <xf numFmtId="0" fontId="0" fillId="0" borderId="9" xfId="0" applyFill="1" applyBorder="1" applyAlignment="1" applyProtection="1">
      <alignment horizontal="center"/>
      <protection locked="0"/>
    </xf>
    <xf numFmtId="0" fontId="2" fillId="0" borderId="10" xfId="0" applyFont="1" applyFill="1" applyBorder="1" applyAlignment="1" applyProtection="1">
      <alignment horizontal="center"/>
      <protection locked="0"/>
    </xf>
    <xf numFmtId="167" fontId="0" fillId="0" borderId="11" xfId="0" applyNumberFormat="1" applyFill="1" applyBorder="1" applyProtection="1"/>
    <xf numFmtId="167" fontId="0" fillId="0" borderId="12" xfId="0" applyNumberFormat="1" applyFill="1" applyBorder="1" applyProtection="1">
      <protection locked="0"/>
    </xf>
    <xf numFmtId="167" fontId="0" fillId="0" borderId="13" xfId="0" applyNumberFormat="1" applyFill="1" applyBorder="1" applyProtection="1"/>
    <xf numFmtId="167" fontId="0" fillId="0" borderId="14" xfId="0" applyNumberFormat="1" applyFill="1" applyBorder="1" applyProtection="1"/>
    <xf numFmtId="167" fontId="0" fillId="0" borderId="10" xfId="0" applyNumberFormat="1" applyFill="1" applyBorder="1" applyProtection="1"/>
    <xf numFmtId="1" fontId="0" fillId="0" borderId="10" xfId="0" applyNumberFormat="1" applyFill="1" applyBorder="1" applyProtection="1"/>
    <xf numFmtId="0" fontId="0" fillId="0" borderId="0" xfId="0" applyFill="1" applyProtection="1">
      <protection locked="0"/>
    </xf>
    <xf numFmtId="0" fontId="2" fillId="0" borderId="0" xfId="0" applyFont="1" applyFill="1" applyProtection="1">
      <protection locked="0"/>
    </xf>
    <xf numFmtId="0" fontId="0" fillId="0" borderId="9" xfId="0" applyFill="1" applyBorder="1" applyProtection="1">
      <protection locked="0"/>
    </xf>
    <xf numFmtId="0" fontId="2" fillId="0" borderId="9" xfId="0" applyFont="1" applyFill="1" applyBorder="1" applyAlignment="1" applyProtection="1">
      <alignment horizontal="center"/>
      <protection locked="0"/>
    </xf>
    <xf numFmtId="167" fontId="0" fillId="0" borderId="16" xfId="0" applyNumberFormat="1" applyFill="1" applyBorder="1" applyProtection="1">
      <protection locked="0"/>
    </xf>
    <xf numFmtId="167" fontId="2" fillId="0" borderId="12" xfId="0" applyNumberFormat="1" applyFont="1" applyFill="1" applyBorder="1" applyProtection="1">
      <protection locked="0"/>
    </xf>
    <xf numFmtId="0" fontId="2" fillId="0" borderId="10" xfId="0" applyFont="1" applyFill="1" applyBorder="1" applyProtection="1">
      <protection locked="0"/>
    </xf>
    <xf numFmtId="0" fontId="0" fillId="0" borderId="0" xfId="0" quotePrefix="1" applyFill="1" applyProtection="1">
      <protection locked="0"/>
    </xf>
    <xf numFmtId="0" fontId="2" fillId="0" borderId="9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167" fontId="2" fillId="0" borderId="16" xfId="0" applyNumberFormat="1" applyFont="1" applyFill="1" applyBorder="1" applyProtection="1">
      <protection locked="0"/>
    </xf>
    <xf numFmtId="0" fontId="8" fillId="0" borderId="0" xfId="0" applyFont="1" applyFill="1" applyProtection="1">
      <protection locked="0"/>
    </xf>
    <xf numFmtId="0" fontId="0" fillId="0" borderId="15" xfId="0" applyFill="1" applyBorder="1" applyProtection="1">
      <protection locked="0"/>
    </xf>
    <xf numFmtId="0" fontId="0" fillId="3" borderId="15" xfId="0" quotePrefix="1" applyFill="1" applyBorder="1" applyProtection="1">
      <protection locked="0"/>
    </xf>
    <xf numFmtId="167" fontId="2" fillId="0" borderId="11" xfId="0" applyNumberFormat="1" applyFont="1" applyFill="1" applyBorder="1" applyProtection="1"/>
    <xf numFmtId="167" fontId="2" fillId="0" borderId="13" xfId="0" applyNumberFormat="1" applyFont="1" applyFill="1" applyBorder="1" applyProtection="1"/>
    <xf numFmtId="167" fontId="2" fillId="0" borderId="14" xfId="0" applyNumberFormat="1" applyFont="1" applyFill="1" applyBorder="1" applyProtection="1"/>
    <xf numFmtId="167" fontId="2" fillId="0" borderId="10" xfId="0" applyNumberFormat="1" applyFont="1" applyFill="1" applyBorder="1" applyProtection="1"/>
    <xf numFmtId="1" fontId="2" fillId="0" borderId="10" xfId="0" applyNumberFormat="1" applyFont="1" applyFill="1" applyBorder="1" applyProtection="1"/>
    <xf numFmtId="0" fontId="2" fillId="3" borderId="19" xfId="0" applyFont="1" applyFill="1" applyBorder="1" applyAlignment="1" applyProtection="1">
      <alignment horizontal="center"/>
      <protection locked="0"/>
    </xf>
    <xf numFmtId="0" fontId="1" fillId="0" borderId="10" xfId="0" applyFont="1" applyFill="1" applyBorder="1" applyProtection="1">
      <protection locked="0"/>
    </xf>
    <xf numFmtId="0" fontId="1" fillId="0" borderId="9" xfId="0" applyFont="1" applyFill="1" applyBorder="1" applyAlignment="1" applyProtection="1">
      <alignment horizontal="center"/>
      <protection locked="0"/>
    </xf>
    <xf numFmtId="0" fontId="1" fillId="0" borderId="10" xfId="0" applyFont="1" applyFill="1" applyBorder="1" applyAlignment="1" applyProtection="1">
      <alignment horizontal="center"/>
      <protection locked="0"/>
    </xf>
    <xf numFmtId="167" fontId="1" fillId="0" borderId="12" xfId="0" applyNumberFormat="1" applyFont="1" applyFill="1" applyBorder="1" applyProtection="1">
      <protection locked="0"/>
    </xf>
    <xf numFmtId="167" fontId="1" fillId="0" borderId="13" xfId="0" applyNumberFormat="1" applyFont="1" applyFill="1" applyBorder="1" applyProtection="1"/>
    <xf numFmtId="167" fontId="1" fillId="0" borderId="14" xfId="0" applyNumberFormat="1" applyFont="1" applyFill="1" applyBorder="1" applyProtection="1"/>
    <xf numFmtId="167" fontId="1" fillId="0" borderId="10" xfId="0" applyNumberFormat="1" applyFont="1" applyFill="1" applyBorder="1" applyProtection="1"/>
    <xf numFmtId="1" fontId="1" fillId="0" borderId="10" xfId="0" applyNumberFormat="1" applyFont="1" applyFill="1" applyBorder="1" applyProtection="1"/>
    <xf numFmtId="0" fontId="1" fillId="0" borderId="0" xfId="0" applyFont="1" applyFill="1" applyProtection="1">
      <protection locked="0"/>
    </xf>
  </cellXfs>
  <cellStyles count="1">
    <cellStyle name="Normal" xfId="0" builtinId="0"/>
  </cellStyles>
  <dxfs count="48"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b/>
        <i val="0"/>
        <condense val="0"/>
        <extend val="0"/>
        <u/>
      </font>
    </dxf>
    <dxf>
      <font>
        <b/>
        <i val="0"/>
        <condense val="0"/>
        <extend val="0"/>
        <u/>
      </font>
    </dxf>
    <dxf>
      <font>
        <b/>
        <i val="0"/>
        <condense val="0"/>
        <extend val="0"/>
        <u/>
      </font>
    </dxf>
    <dxf>
      <font>
        <b/>
        <i val="0"/>
        <condense val="0"/>
        <extend val="0"/>
        <u/>
      </font>
    </dxf>
    <dxf>
      <font>
        <b/>
        <i val="0"/>
        <condense val="0"/>
        <extend val="0"/>
        <u/>
      </font>
    </dxf>
    <dxf>
      <font>
        <b/>
        <i val="0"/>
        <condense val="0"/>
        <extend val="0"/>
        <u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 val="double"/>
      </font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u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8" dist="17961" dir="135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8" dist="17961" dir="135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7"/>
  <dimension ref="A1:CP49"/>
  <sheetViews>
    <sheetView zoomScale="90" workbookViewId="0">
      <selection activeCell="A2" sqref="A2"/>
    </sheetView>
  </sheetViews>
  <sheetFormatPr defaultColWidth="9.109375" defaultRowHeight="13.2"/>
  <cols>
    <col min="1" max="2" width="17.109375" style="1" customWidth="1"/>
    <col min="3" max="3" width="8.5546875" style="2" customWidth="1"/>
    <col min="4" max="4" width="8.6640625" style="2" customWidth="1"/>
    <col min="5" max="5" width="6.109375" style="3" customWidth="1"/>
    <col min="6" max="6" width="7.6640625" customWidth="1"/>
    <col min="7" max="7" width="3.33203125" style="1" customWidth="1"/>
    <col min="8" max="9" width="7.6640625" style="1" customWidth="1"/>
    <col min="10" max="10" width="3.33203125" style="1" customWidth="1"/>
    <col min="11" max="11" width="7.6640625" style="1" customWidth="1"/>
    <col min="12" max="12" width="7.6640625" customWidth="1"/>
    <col min="13" max="13" width="3.33203125" style="1" customWidth="1"/>
    <col min="14" max="14" width="7.6640625" style="1" customWidth="1"/>
    <col min="15" max="15" width="7.6640625" customWidth="1"/>
    <col min="16" max="16" width="3.33203125" style="1" customWidth="1"/>
    <col min="17" max="17" width="7.6640625" style="1" customWidth="1"/>
    <col min="18" max="18" width="7.6640625" customWidth="1"/>
    <col min="19" max="19" width="3.33203125" style="1" customWidth="1"/>
    <col min="20" max="20" width="7.6640625" style="1" customWidth="1"/>
    <col min="21" max="21" width="7.6640625" customWidth="1"/>
    <col min="22" max="22" width="3.33203125" style="1" customWidth="1"/>
    <col min="23" max="23" width="7.6640625" style="1" customWidth="1"/>
    <col min="24" max="25" width="7.6640625" style="3" customWidth="1"/>
    <col min="26" max="26" width="6.5546875" style="3" customWidth="1"/>
    <col min="27" max="27" width="6.88671875" style="3" customWidth="1"/>
    <col min="28" max="28" width="7.5546875" style="1" hidden="1" customWidth="1"/>
    <col min="29" max="16384" width="9.109375" style="1"/>
  </cols>
  <sheetData>
    <row r="1" spans="1:94" s="92" customFormat="1" ht="13.8" thickBot="1">
      <c r="A1" s="84" t="s">
        <v>108</v>
      </c>
      <c r="B1" s="84"/>
      <c r="C1" s="85"/>
      <c r="D1" s="86"/>
      <c r="E1" s="86"/>
      <c r="F1" s="87"/>
      <c r="G1" s="84"/>
      <c r="H1" s="88"/>
      <c r="I1" s="87"/>
      <c r="J1" s="84"/>
      <c r="K1" s="88"/>
      <c r="L1" s="87"/>
      <c r="M1" s="84"/>
      <c r="N1" s="88"/>
      <c r="O1" s="87"/>
      <c r="P1" s="84"/>
      <c r="Q1" s="88"/>
      <c r="R1" s="87"/>
      <c r="S1" s="84"/>
      <c r="T1" s="88"/>
      <c r="U1" s="87"/>
      <c r="V1" s="84"/>
      <c r="W1" s="88"/>
      <c r="X1" s="89"/>
      <c r="Y1" s="90"/>
      <c r="Z1" s="91"/>
      <c r="AA1" s="91"/>
    </row>
    <row r="2" spans="1:94" s="4" customFormat="1" ht="30" customHeight="1" thickBot="1">
      <c r="A2" s="10"/>
      <c r="B2" s="10"/>
      <c r="C2" s="10"/>
      <c r="D2" s="10"/>
      <c r="E2" s="18"/>
      <c r="F2" s="17"/>
      <c r="G2" s="15">
        <v>1</v>
      </c>
      <c r="H2" s="16"/>
      <c r="I2" s="17"/>
      <c r="J2" s="15">
        <v>2</v>
      </c>
      <c r="K2" s="16"/>
      <c r="L2" s="17"/>
      <c r="M2" s="15">
        <v>3</v>
      </c>
      <c r="N2" s="16"/>
      <c r="O2" s="16"/>
      <c r="P2" s="15">
        <v>4</v>
      </c>
      <c r="Q2" s="16"/>
      <c r="R2" s="17"/>
      <c r="S2" s="15">
        <v>5</v>
      </c>
      <c r="T2" s="16"/>
      <c r="U2" s="17"/>
      <c r="V2" s="15">
        <v>6</v>
      </c>
      <c r="W2" s="16"/>
      <c r="X2" s="5" t="s">
        <v>16</v>
      </c>
      <c r="Y2" s="6" t="s">
        <v>17</v>
      </c>
      <c r="Z2" s="6"/>
      <c r="AA2" s="6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</row>
    <row r="3" spans="1:94" s="3" customFormat="1" ht="52.5" customHeight="1" thickBot="1">
      <c r="A3" s="12" t="s">
        <v>13</v>
      </c>
      <c r="B3" s="10" t="s">
        <v>20</v>
      </c>
      <c r="C3" s="10" t="s">
        <v>26</v>
      </c>
      <c r="D3" s="10" t="s">
        <v>21</v>
      </c>
      <c r="E3" s="14" t="s">
        <v>30</v>
      </c>
      <c r="F3" s="11" t="s">
        <v>103</v>
      </c>
      <c r="G3" s="13" t="s">
        <v>18</v>
      </c>
      <c r="H3" s="19" t="s">
        <v>19</v>
      </c>
      <c r="I3" s="11" t="s">
        <v>103</v>
      </c>
      <c r="J3" s="13" t="s">
        <v>18</v>
      </c>
      <c r="K3" s="19" t="s">
        <v>19</v>
      </c>
      <c r="L3" s="11" t="s">
        <v>103</v>
      </c>
      <c r="M3" s="13" t="s">
        <v>18</v>
      </c>
      <c r="N3" s="19" t="s">
        <v>19</v>
      </c>
      <c r="O3" s="11" t="s">
        <v>103</v>
      </c>
      <c r="P3" s="13" t="s">
        <v>18</v>
      </c>
      <c r="Q3" s="19" t="s">
        <v>19</v>
      </c>
      <c r="R3" s="11" t="s">
        <v>103</v>
      </c>
      <c r="S3" s="13" t="s">
        <v>18</v>
      </c>
      <c r="T3" s="19" t="s">
        <v>19</v>
      </c>
      <c r="U3" s="11" t="s">
        <v>103</v>
      </c>
      <c r="V3" s="13" t="s">
        <v>18</v>
      </c>
      <c r="W3" s="19" t="s">
        <v>19</v>
      </c>
      <c r="X3" s="8">
        <v>61.04</v>
      </c>
      <c r="Y3" s="8">
        <v>49.869679999999995</v>
      </c>
      <c r="Z3" s="21" t="s">
        <v>25</v>
      </c>
      <c r="AA3" s="21" t="s">
        <v>22</v>
      </c>
      <c r="AB3" s="1" t="s">
        <v>37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s="92" customFormat="1">
      <c r="A4" s="84" t="s">
        <v>36</v>
      </c>
      <c r="B4" s="84"/>
      <c r="C4" s="85"/>
      <c r="D4" s="86"/>
      <c r="E4" s="86"/>
      <c r="F4" s="87"/>
      <c r="G4" s="84"/>
      <c r="H4" s="88"/>
      <c r="I4" s="87"/>
      <c r="J4" s="84"/>
      <c r="K4" s="88"/>
      <c r="L4" s="87"/>
      <c r="M4" s="84"/>
      <c r="N4" s="88"/>
      <c r="O4" s="87"/>
      <c r="P4" s="84"/>
      <c r="Q4" s="88"/>
      <c r="R4" s="87"/>
      <c r="S4" s="84"/>
      <c r="T4" s="88"/>
      <c r="U4" s="87"/>
      <c r="V4" s="84"/>
      <c r="W4" s="88"/>
      <c r="X4" s="89"/>
      <c r="Y4" s="90"/>
      <c r="Z4" s="91"/>
      <c r="AA4" s="91"/>
    </row>
    <row r="5" spans="1:94" s="27" customFormat="1">
      <c r="A5" s="66" t="s">
        <v>62</v>
      </c>
      <c r="B5" s="66" t="s">
        <v>68</v>
      </c>
      <c r="C5" s="56" t="s">
        <v>36</v>
      </c>
      <c r="D5" s="57" t="s">
        <v>36</v>
      </c>
      <c r="E5" s="58">
        <v>0.88700000000000001</v>
      </c>
      <c r="F5" s="68">
        <v>64.825000000000003</v>
      </c>
      <c r="G5" s="55">
        <v>2</v>
      </c>
      <c r="H5" s="60">
        <v>66.825000000000003</v>
      </c>
      <c r="I5" s="59">
        <v>64.402000000000001</v>
      </c>
      <c r="J5" s="55"/>
      <c r="K5" s="60">
        <v>64.402000000000001</v>
      </c>
      <c r="L5" s="59">
        <v>63.698</v>
      </c>
      <c r="M5" s="55"/>
      <c r="N5" s="60">
        <v>63.698</v>
      </c>
      <c r="O5" s="59">
        <v>64.248999999999995</v>
      </c>
      <c r="P5" s="55"/>
      <c r="Q5" s="60">
        <v>64.248999999999995</v>
      </c>
      <c r="R5" s="59">
        <v>64.141999999999996</v>
      </c>
      <c r="S5" s="55"/>
      <c r="T5" s="60">
        <v>64.141999999999996</v>
      </c>
      <c r="U5" s="59">
        <v>63.459000000000003</v>
      </c>
      <c r="V5" s="55"/>
      <c r="W5" s="60">
        <v>63.459000000000003</v>
      </c>
      <c r="X5" s="61">
        <v>63.459000000000003</v>
      </c>
      <c r="Y5" s="62">
        <v>56.288133000000002</v>
      </c>
      <c r="Z5" s="63"/>
      <c r="AA5" s="63" t="s">
        <v>104</v>
      </c>
      <c r="AB5" s="64" t="s">
        <v>36</v>
      </c>
      <c r="AC5" s="65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</row>
    <row r="6" spans="1:94" s="27" customFormat="1">
      <c r="A6" s="55" t="s">
        <v>57</v>
      </c>
      <c r="B6" s="55" t="s">
        <v>66</v>
      </c>
      <c r="C6" s="67" t="s">
        <v>36</v>
      </c>
      <c r="D6" s="57" t="s">
        <v>36</v>
      </c>
      <c r="E6" s="58">
        <v>0.88700000000000001</v>
      </c>
      <c r="F6" s="68" t="s">
        <v>101</v>
      </c>
      <c r="G6" s="55"/>
      <c r="H6" s="60" t="s">
        <v>104</v>
      </c>
      <c r="I6" s="59">
        <v>64.204999999999998</v>
      </c>
      <c r="J6" s="55"/>
      <c r="K6" s="60">
        <v>64.204999999999998</v>
      </c>
      <c r="L6" s="59">
        <v>64.369</v>
      </c>
      <c r="M6" s="55"/>
      <c r="N6" s="60">
        <v>64.369</v>
      </c>
      <c r="O6" s="69" t="s">
        <v>102</v>
      </c>
      <c r="P6" s="55"/>
      <c r="Q6" s="60" t="s">
        <v>104</v>
      </c>
      <c r="R6" s="69" t="s">
        <v>102</v>
      </c>
      <c r="S6" s="55"/>
      <c r="T6" s="60" t="s">
        <v>104</v>
      </c>
      <c r="U6" s="59" t="s">
        <v>102</v>
      </c>
      <c r="V6" s="55"/>
      <c r="W6" s="60" t="s">
        <v>104</v>
      </c>
      <c r="X6" s="61">
        <v>64.204999999999998</v>
      </c>
      <c r="Y6" s="62">
        <v>56.949835</v>
      </c>
      <c r="Z6" s="63"/>
      <c r="AA6" s="63" t="s">
        <v>104</v>
      </c>
      <c r="AB6" s="64" t="s">
        <v>36</v>
      </c>
      <c r="AC6" s="65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</row>
    <row r="7" spans="1:94" s="92" customFormat="1">
      <c r="A7" s="84" t="s">
        <v>53</v>
      </c>
      <c r="B7" s="84"/>
      <c r="C7" s="85"/>
      <c r="D7" s="86"/>
      <c r="E7" s="86"/>
      <c r="F7" s="87"/>
      <c r="G7" s="84"/>
      <c r="H7" s="88"/>
      <c r="I7" s="87"/>
      <c r="J7" s="84"/>
      <c r="K7" s="88"/>
      <c r="L7" s="87"/>
      <c r="M7" s="84"/>
      <c r="N7" s="88"/>
      <c r="O7" s="87"/>
      <c r="P7" s="84"/>
      <c r="Q7" s="88"/>
      <c r="R7" s="87"/>
      <c r="S7" s="84"/>
      <c r="T7" s="88"/>
      <c r="U7" s="87"/>
      <c r="V7" s="84"/>
      <c r="W7" s="88"/>
      <c r="X7" s="89"/>
      <c r="Y7" s="90"/>
      <c r="Z7" s="91"/>
      <c r="AA7" s="91"/>
    </row>
    <row r="8" spans="1:94" s="27" customFormat="1">
      <c r="A8" s="55" t="s">
        <v>29</v>
      </c>
      <c r="B8" s="70" t="s">
        <v>83</v>
      </c>
      <c r="C8" s="56" t="s">
        <v>53</v>
      </c>
      <c r="D8" s="57" t="s">
        <v>53</v>
      </c>
      <c r="E8" s="58">
        <v>0.82</v>
      </c>
      <c r="F8" s="68">
        <v>68.429000000000002</v>
      </c>
      <c r="G8" s="55">
        <v>2</v>
      </c>
      <c r="H8" s="60">
        <v>70.429000000000002</v>
      </c>
      <c r="I8" s="59">
        <v>68.872</v>
      </c>
      <c r="J8" s="55"/>
      <c r="K8" s="60">
        <v>68.872</v>
      </c>
      <c r="L8" s="59">
        <v>66.924000000000007</v>
      </c>
      <c r="M8" s="55"/>
      <c r="N8" s="60">
        <v>66.924000000000007</v>
      </c>
      <c r="O8" s="59">
        <v>64.933999999999997</v>
      </c>
      <c r="P8" s="55"/>
      <c r="Q8" s="60">
        <v>64.933999999999997</v>
      </c>
      <c r="R8" s="69">
        <v>65.906000000000006</v>
      </c>
      <c r="S8" s="55"/>
      <c r="T8" s="60">
        <v>65.906000000000006</v>
      </c>
      <c r="U8" s="69">
        <v>65.5</v>
      </c>
      <c r="V8" s="55"/>
      <c r="W8" s="60">
        <v>65.5</v>
      </c>
      <c r="X8" s="61">
        <v>64.933999999999997</v>
      </c>
      <c r="Y8" s="62">
        <v>53.245879999999993</v>
      </c>
      <c r="Z8" s="63">
        <v>1000</v>
      </c>
      <c r="AA8" s="63">
        <v>936.59227718651664</v>
      </c>
      <c r="AB8" s="64" t="s">
        <v>53</v>
      </c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</row>
    <row r="9" spans="1:94" s="27" customFormat="1">
      <c r="A9" s="70" t="s">
        <v>33</v>
      </c>
      <c r="B9" s="70" t="s">
        <v>39</v>
      </c>
      <c r="C9" s="56" t="s">
        <v>53</v>
      </c>
      <c r="D9" s="57" t="s">
        <v>53</v>
      </c>
      <c r="E9" s="58">
        <v>0.82</v>
      </c>
      <c r="F9" s="68">
        <v>68.274000000000001</v>
      </c>
      <c r="G9" s="55">
        <v>2</v>
      </c>
      <c r="H9" s="60">
        <v>70.274000000000001</v>
      </c>
      <c r="I9" s="59">
        <v>67.230999999999995</v>
      </c>
      <c r="J9" s="55"/>
      <c r="K9" s="60">
        <v>67.230999999999995</v>
      </c>
      <c r="L9" s="59">
        <v>67.492000000000004</v>
      </c>
      <c r="M9" s="55"/>
      <c r="N9" s="60">
        <v>67.492000000000004</v>
      </c>
      <c r="O9" s="59">
        <v>66.677000000000007</v>
      </c>
      <c r="P9" s="55">
        <v>2</v>
      </c>
      <c r="Q9" s="60">
        <v>68.677000000000007</v>
      </c>
      <c r="R9" s="59">
        <v>66.796999999999997</v>
      </c>
      <c r="S9" s="55"/>
      <c r="T9" s="60">
        <v>66.796999999999997</v>
      </c>
      <c r="U9" s="59">
        <v>65.703999999999994</v>
      </c>
      <c r="V9" s="55"/>
      <c r="W9" s="60">
        <v>65.703999999999994</v>
      </c>
      <c r="X9" s="61">
        <v>65.703999999999994</v>
      </c>
      <c r="Y9" s="62">
        <v>53.877279999999992</v>
      </c>
      <c r="Z9" s="63">
        <f>1000/Y9*Y8</f>
        <v>988.28077438207731</v>
      </c>
      <c r="AA9" s="63">
        <v>925.6161409781638</v>
      </c>
      <c r="AB9" s="64" t="s">
        <v>53</v>
      </c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</row>
    <row r="10" spans="1:94" s="27" customFormat="1">
      <c r="A10" s="70" t="s">
        <v>84</v>
      </c>
      <c r="B10" s="55" t="s">
        <v>85</v>
      </c>
      <c r="C10" s="56" t="s">
        <v>53</v>
      </c>
      <c r="D10" s="57" t="s">
        <v>53</v>
      </c>
      <c r="E10" s="58">
        <v>0.82</v>
      </c>
      <c r="F10" s="68">
        <v>71.075000000000003</v>
      </c>
      <c r="G10" s="55"/>
      <c r="H10" s="60">
        <v>71.075000000000003</v>
      </c>
      <c r="I10" s="59">
        <v>69.308000000000007</v>
      </c>
      <c r="J10" s="55"/>
      <c r="K10" s="60">
        <v>69.308000000000007</v>
      </c>
      <c r="L10" s="59">
        <v>68.872</v>
      </c>
      <c r="M10" s="64"/>
      <c r="N10" s="60">
        <v>68.872</v>
      </c>
      <c r="O10" s="59">
        <v>67.631</v>
      </c>
      <c r="P10" s="55">
        <v>2</v>
      </c>
      <c r="Q10" s="60">
        <v>69.631</v>
      </c>
      <c r="R10" s="59">
        <v>68.542000000000002</v>
      </c>
      <c r="S10" s="55"/>
      <c r="T10" s="60">
        <v>68.542000000000002</v>
      </c>
      <c r="U10" s="59">
        <v>67.188000000000002</v>
      </c>
      <c r="V10" s="55"/>
      <c r="W10" s="60">
        <v>67.188000000000002</v>
      </c>
      <c r="X10" s="61">
        <v>67.188000000000002</v>
      </c>
      <c r="Y10" s="62">
        <v>55.094159999999995</v>
      </c>
      <c r="Z10" s="63">
        <f>1000/Y10*Y8</f>
        <v>966.45234268024046</v>
      </c>
      <c r="AA10" s="63">
        <v>905.17180042313021</v>
      </c>
      <c r="AB10" s="64" t="s">
        <v>53</v>
      </c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</row>
    <row r="11" spans="1:94" s="92" customFormat="1">
      <c r="A11" s="84" t="s">
        <v>11</v>
      </c>
      <c r="B11" s="84"/>
      <c r="C11" s="85"/>
      <c r="D11" s="86"/>
      <c r="E11" s="86"/>
      <c r="F11" s="87"/>
      <c r="G11" s="84"/>
      <c r="H11" s="88"/>
      <c r="I11" s="87"/>
      <c r="J11" s="84"/>
      <c r="K11" s="88"/>
      <c r="L11" s="87"/>
      <c r="M11" s="84"/>
      <c r="N11" s="88"/>
      <c r="O11" s="87"/>
      <c r="P11" s="84"/>
      <c r="Q11" s="88"/>
      <c r="R11" s="87"/>
      <c r="S11" s="84"/>
      <c r="T11" s="88"/>
      <c r="U11" s="87"/>
      <c r="V11" s="84"/>
      <c r="W11" s="88"/>
      <c r="X11" s="89"/>
      <c r="Y11" s="90"/>
      <c r="Z11" s="91"/>
      <c r="AA11" s="91"/>
    </row>
    <row r="12" spans="1:94" s="65" customFormat="1">
      <c r="A12" s="55" t="s">
        <v>46</v>
      </c>
      <c r="B12" s="55" t="s">
        <v>87</v>
      </c>
      <c r="C12" s="56" t="s">
        <v>11</v>
      </c>
      <c r="D12" s="57" t="s">
        <v>11</v>
      </c>
      <c r="E12" s="58">
        <v>0.79100000000000004</v>
      </c>
      <c r="F12" s="68">
        <v>74.751000000000005</v>
      </c>
      <c r="G12" s="55"/>
      <c r="H12" s="60">
        <v>74.751000000000005</v>
      </c>
      <c r="I12" s="59">
        <v>74.438999999999993</v>
      </c>
      <c r="J12" s="55"/>
      <c r="K12" s="60">
        <v>74.438999999999993</v>
      </c>
      <c r="L12" s="59">
        <v>72.528999999999996</v>
      </c>
      <c r="M12" s="55"/>
      <c r="N12" s="60">
        <v>72.528999999999996</v>
      </c>
      <c r="O12" s="59">
        <v>72.626000000000005</v>
      </c>
      <c r="P12" s="55"/>
      <c r="Q12" s="60">
        <v>72.626000000000005</v>
      </c>
      <c r="R12" s="59">
        <v>73.686999999999998</v>
      </c>
      <c r="S12" s="55">
        <v>10</v>
      </c>
      <c r="T12" s="60">
        <v>83.686999999999998</v>
      </c>
      <c r="U12" s="59">
        <v>71.992999999999995</v>
      </c>
      <c r="V12" s="55">
        <v>12</v>
      </c>
      <c r="W12" s="60">
        <v>83.992999999999995</v>
      </c>
      <c r="X12" s="61">
        <v>72.528999999999996</v>
      </c>
      <c r="Y12" s="62">
        <v>57.370438999999998</v>
      </c>
      <c r="Z12" s="63">
        <v>1000</v>
      </c>
      <c r="AA12" s="63">
        <v>869.25742367075134</v>
      </c>
      <c r="AB12" s="64" t="s">
        <v>11</v>
      </c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</row>
    <row r="13" spans="1:94" s="27" customFormat="1">
      <c r="A13" s="55" t="s">
        <v>82</v>
      </c>
      <c r="B13" s="55" t="s">
        <v>83</v>
      </c>
      <c r="C13" s="67" t="s">
        <v>11</v>
      </c>
      <c r="D13" s="57" t="s">
        <v>11</v>
      </c>
      <c r="E13" s="58">
        <v>0.79100000000000004</v>
      </c>
      <c r="F13" s="68">
        <v>73.695999999999998</v>
      </c>
      <c r="G13" s="55"/>
      <c r="H13" s="60">
        <v>73.695999999999998</v>
      </c>
      <c r="I13" s="59">
        <v>74.328999999999994</v>
      </c>
      <c r="J13" s="55"/>
      <c r="K13" s="60">
        <v>74.328999999999994</v>
      </c>
      <c r="L13" s="59">
        <v>79.394000000000005</v>
      </c>
      <c r="M13" s="55"/>
      <c r="N13" s="60">
        <v>79.394000000000005</v>
      </c>
      <c r="O13" s="59">
        <v>75.296000000000006</v>
      </c>
      <c r="P13" s="55"/>
      <c r="Q13" s="60">
        <v>75.296000000000006</v>
      </c>
      <c r="R13" s="59">
        <v>73.171000000000006</v>
      </c>
      <c r="S13" s="55"/>
      <c r="T13" s="60">
        <v>73.171000000000006</v>
      </c>
      <c r="U13" s="59" t="s">
        <v>100</v>
      </c>
      <c r="V13" s="55">
        <v>20</v>
      </c>
      <c r="W13" s="60" t="s">
        <v>104</v>
      </c>
      <c r="X13" s="61">
        <v>73.171000000000006</v>
      </c>
      <c r="Y13" s="62">
        <v>57.878261000000009</v>
      </c>
      <c r="Z13" s="63"/>
      <c r="AA13" s="63" t="s">
        <v>104</v>
      </c>
      <c r="AB13" s="64" t="s">
        <v>11</v>
      </c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</row>
    <row r="14" spans="1:94" s="27" customFormat="1">
      <c r="A14" s="55" t="s">
        <v>65</v>
      </c>
      <c r="B14" s="55" t="s">
        <v>69</v>
      </c>
      <c r="C14" s="67" t="s">
        <v>11</v>
      </c>
      <c r="D14" s="57" t="s">
        <v>11</v>
      </c>
      <c r="E14" s="58">
        <v>0.79100000000000004</v>
      </c>
      <c r="F14" s="68">
        <v>79.468999999999994</v>
      </c>
      <c r="G14" s="55"/>
      <c r="H14" s="60">
        <v>79.468999999999994</v>
      </c>
      <c r="I14" s="59">
        <v>76.778999999999996</v>
      </c>
      <c r="J14" s="55"/>
      <c r="K14" s="60">
        <v>76.778999999999996</v>
      </c>
      <c r="L14" s="59">
        <v>76.221000000000004</v>
      </c>
      <c r="M14" s="55"/>
      <c r="N14" s="60">
        <v>76.221000000000004</v>
      </c>
      <c r="O14" s="59">
        <v>77.474000000000004</v>
      </c>
      <c r="P14" s="55"/>
      <c r="Q14" s="60">
        <v>77.474000000000004</v>
      </c>
      <c r="R14" s="59">
        <v>74.948999999999998</v>
      </c>
      <c r="S14" s="55"/>
      <c r="T14" s="60">
        <v>74.948999999999998</v>
      </c>
      <c r="U14" s="59">
        <v>74.525000000000006</v>
      </c>
      <c r="V14" s="55">
        <v>4</v>
      </c>
      <c r="W14" s="60">
        <v>78.525000000000006</v>
      </c>
      <c r="X14" s="61">
        <v>74.948999999999998</v>
      </c>
      <c r="Y14" s="62">
        <v>59.284658999999998</v>
      </c>
      <c r="Z14" s="63">
        <f>1000/Y14*Y12</f>
        <v>967.71137706974071</v>
      </c>
      <c r="AA14" s="63">
        <v>841.1902984885179</v>
      </c>
      <c r="AB14" s="64" t="s">
        <v>11</v>
      </c>
      <c r="AC14" s="71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</row>
    <row r="15" spans="1:94" s="92" customFormat="1">
      <c r="A15" s="84" t="s">
        <v>9</v>
      </c>
      <c r="B15" s="84"/>
      <c r="C15" s="85"/>
      <c r="D15" s="86"/>
      <c r="E15" s="86"/>
      <c r="F15" s="87"/>
      <c r="G15" s="84"/>
      <c r="H15" s="88"/>
      <c r="I15" s="87"/>
      <c r="J15" s="84"/>
      <c r="K15" s="88"/>
      <c r="L15" s="87"/>
      <c r="M15" s="84"/>
      <c r="N15" s="88"/>
      <c r="O15" s="87"/>
      <c r="P15" s="84"/>
      <c r="Q15" s="88"/>
      <c r="R15" s="87"/>
      <c r="S15" s="84"/>
      <c r="T15" s="88"/>
      <c r="U15" s="87"/>
      <c r="V15" s="84"/>
      <c r="W15" s="88"/>
      <c r="X15" s="89"/>
      <c r="Y15" s="90"/>
      <c r="Z15" s="91"/>
      <c r="AA15" s="91"/>
    </row>
    <row r="16" spans="1:94" s="64" customFormat="1">
      <c r="A16" s="55" t="s">
        <v>61</v>
      </c>
      <c r="B16" s="55" t="s">
        <v>79</v>
      </c>
      <c r="C16" s="56" t="s">
        <v>9</v>
      </c>
      <c r="D16" s="57" t="s">
        <v>9</v>
      </c>
      <c r="E16" s="58">
        <v>0.82699999999999996</v>
      </c>
      <c r="F16" s="74">
        <v>71.100999999999999</v>
      </c>
      <c r="G16" s="55">
        <v>2</v>
      </c>
      <c r="H16" s="60">
        <v>73.100999999999999</v>
      </c>
      <c r="I16" s="59">
        <v>68.777000000000001</v>
      </c>
      <c r="J16" s="55"/>
      <c r="K16" s="60">
        <v>68.777000000000001</v>
      </c>
      <c r="L16" s="59">
        <v>67.59</v>
      </c>
      <c r="M16" s="55"/>
      <c r="N16" s="60">
        <v>67.59</v>
      </c>
      <c r="O16" s="59">
        <v>67.894000000000005</v>
      </c>
      <c r="P16" s="55">
        <v>2</v>
      </c>
      <c r="Q16" s="60">
        <v>69.894000000000005</v>
      </c>
      <c r="R16" s="69">
        <v>67.084000000000003</v>
      </c>
      <c r="S16" s="55"/>
      <c r="T16" s="60">
        <v>67.084000000000003</v>
      </c>
      <c r="U16" s="59">
        <v>66.887</v>
      </c>
      <c r="V16" s="55"/>
      <c r="W16" s="60">
        <v>66.887</v>
      </c>
      <c r="X16" s="61">
        <v>66.887</v>
      </c>
      <c r="Y16" s="62">
        <v>55.315548999999997</v>
      </c>
      <c r="Z16" s="63">
        <v>1000</v>
      </c>
      <c r="AA16" s="63">
        <v>901.54903822793108</v>
      </c>
      <c r="AB16" s="64" t="s">
        <v>9</v>
      </c>
    </row>
    <row r="17" spans="1:94" s="27" customFormat="1">
      <c r="A17" s="55" t="s">
        <v>35</v>
      </c>
      <c r="B17" s="55" t="s">
        <v>55</v>
      </c>
      <c r="C17" s="56" t="s">
        <v>9</v>
      </c>
      <c r="D17" s="57" t="s">
        <v>9</v>
      </c>
      <c r="E17" s="58">
        <v>0.82699999999999996</v>
      </c>
      <c r="F17" s="74">
        <v>73.369</v>
      </c>
      <c r="G17" s="55"/>
      <c r="H17" s="60">
        <v>73.369</v>
      </c>
      <c r="I17" s="59">
        <v>72.658000000000001</v>
      </c>
      <c r="J17" s="55"/>
      <c r="K17" s="60">
        <v>72.658000000000001</v>
      </c>
      <c r="L17" s="59">
        <v>72.403000000000006</v>
      </c>
      <c r="M17" s="55"/>
      <c r="N17" s="60">
        <v>72.403000000000006</v>
      </c>
      <c r="O17" s="59">
        <v>70.951999999999998</v>
      </c>
      <c r="P17" s="55"/>
      <c r="Q17" s="60">
        <v>70.951999999999998</v>
      </c>
      <c r="R17" s="59">
        <v>70.760999999999996</v>
      </c>
      <c r="S17" s="55"/>
      <c r="T17" s="60">
        <v>70.760999999999996</v>
      </c>
      <c r="U17" s="59">
        <v>70.667000000000002</v>
      </c>
      <c r="V17" s="55">
        <v>2</v>
      </c>
      <c r="W17" s="60">
        <v>72.667000000000002</v>
      </c>
      <c r="X17" s="61">
        <v>70.760999999999996</v>
      </c>
      <c r="Y17" s="62">
        <v>58.519346999999996</v>
      </c>
      <c r="Z17" s="63">
        <f>1000/Y17*Y16</f>
        <v>945.25232825991725</v>
      </c>
      <c r="AA17" s="63">
        <v>852.19132742544105</v>
      </c>
      <c r="AB17" s="64" t="s">
        <v>9</v>
      </c>
      <c r="AC17" s="65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</row>
    <row r="18" spans="1:94" s="92" customFormat="1">
      <c r="A18" s="84" t="s">
        <v>7</v>
      </c>
      <c r="B18" s="84"/>
      <c r="C18" s="85"/>
      <c r="D18" s="86"/>
      <c r="E18" s="86"/>
      <c r="F18" s="87"/>
      <c r="G18" s="84"/>
      <c r="H18" s="88"/>
      <c r="I18" s="87"/>
      <c r="J18" s="84"/>
      <c r="K18" s="88"/>
      <c r="L18" s="87"/>
      <c r="M18" s="84"/>
      <c r="N18" s="88"/>
      <c r="O18" s="87"/>
      <c r="P18" s="84"/>
      <c r="Q18" s="88"/>
      <c r="R18" s="87"/>
      <c r="S18" s="84"/>
      <c r="T18" s="88"/>
      <c r="U18" s="87"/>
      <c r="V18" s="84"/>
      <c r="W18" s="88"/>
      <c r="X18" s="89"/>
      <c r="Y18" s="90"/>
      <c r="Z18" s="63"/>
      <c r="AA18" s="91"/>
    </row>
    <row r="19" spans="1:94" s="27" customFormat="1">
      <c r="A19" s="70" t="s">
        <v>34</v>
      </c>
      <c r="B19" s="70" t="s">
        <v>38</v>
      </c>
      <c r="C19" s="56" t="s">
        <v>7</v>
      </c>
      <c r="D19" s="57" t="s">
        <v>7</v>
      </c>
      <c r="E19" s="58">
        <v>0.82499999999999996</v>
      </c>
      <c r="F19" s="68" t="s">
        <v>100</v>
      </c>
      <c r="G19" s="55"/>
      <c r="H19" s="60" t="s">
        <v>104</v>
      </c>
      <c r="I19" s="59">
        <v>68.933000000000007</v>
      </c>
      <c r="J19" s="55"/>
      <c r="K19" s="60">
        <v>68.933000000000007</v>
      </c>
      <c r="L19" s="59">
        <v>67.875</v>
      </c>
      <c r="M19" s="55"/>
      <c r="N19" s="60">
        <v>67.875</v>
      </c>
      <c r="O19" s="59">
        <v>67.652000000000001</v>
      </c>
      <c r="P19" s="55"/>
      <c r="Q19" s="60">
        <v>67.652000000000001</v>
      </c>
      <c r="R19" s="59">
        <v>67.516000000000005</v>
      </c>
      <c r="S19" s="55"/>
      <c r="T19" s="60">
        <v>67.516000000000005</v>
      </c>
      <c r="U19" s="59">
        <v>67.132999999999996</v>
      </c>
      <c r="V19" s="55"/>
      <c r="W19" s="60">
        <v>67.132999999999996</v>
      </c>
      <c r="X19" s="61">
        <v>67.132999999999996</v>
      </c>
      <c r="Y19" s="62">
        <v>55.384724999999996</v>
      </c>
      <c r="Z19" s="63">
        <v>1000</v>
      </c>
      <c r="AA19" s="63">
        <v>900.42299569059878</v>
      </c>
      <c r="AB19" s="64" t="s">
        <v>7</v>
      </c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</row>
    <row r="20" spans="1:94" s="27" customFormat="1">
      <c r="A20" s="70" t="s">
        <v>74</v>
      </c>
      <c r="B20" s="70" t="s">
        <v>38</v>
      </c>
      <c r="C20" s="67" t="s">
        <v>7</v>
      </c>
      <c r="D20" s="57" t="s">
        <v>7</v>
      </c>
      <c r="E20" s="58">
        <v>0.82499999999999996</v>
      </c>
      <c r="F20" s="68">
        <v>67.73</v>
      </c>
      <c r="G20" s="55">
        <v>12</v>
      </c>
      <c r="H20" s="60">
        <v>79.73</v>
      </c>
      <c r="I20" s="59">
        <v>69.53</v>
      </c>
      <c r="J20" s="55"/>
      <c r="K20" s="60">
        <v>69.53</v>
      </c>
      <c r="L20" s="59">
        <v>67.924000000000007</v>
      </c>
      <c r="M20" s="55"/>
      <c r="N20" s="60">
        <v>67.924000000000007</v>
      </c>
      <c r="O20" s="69">
        <v>67.974999999999994</v>
      </c>
      <c r="P20" s="55"/>
      <c r="Q20" s="60">
        <v>67.974999999999994</v>
      </c>
      <c r="R20" s="69">
        <v>67.852999999999994</v>
      </c>
      <c r="S20" s="55"/>
      <c r="T20" s="60">
        <v>67.852999999999994</v>
      </c>
      <c r="U20" s="69">
        <v>67.77</v>
      </c>
      <c r="V20" s="55"/>
      <c r="W20" s="60">
        <v>67.77</v>
      </c>
      <c r="X20" s="61">
        <v>67.77</v>
      </c>
      <c r="Y20" s="62">
        <v>55.910249999999991</v>
      </c>
      <c r="Z20" s="63">
        <f>1000/Y20*Y19</f>
        <v>990.60056072008274</v>
      </c>
      <c r="AA20" s="63">
        <v>891.95952441636382</v>
      </c>
      <c r="AB20" s="64" t="s">
        <v>7</v>
      </c>
      <c r="AC20" s="65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</row>
    <row r="21" spans="1:94" s="45" customFormat="1" ht="13.8">
      <c r="A21" s="55" t="s">
        <v>73</v>
      </c>
      <c r="B21" s="55" t="s">
        <v>38</v>
      </c>
      <c r="C21" s="56" t="s">
        <v>7</v>
      </c>
      <c r="D21" s="57" t="s">
        <v>7</v>
      </c>
      <c r="E21" s="58">
        <v>0.82499999999999996</v>
      </c>
      <c r="F21" s="74">
        <v>69.667000000000002</v>
      </c>
      <c r="G21" s="55">
        <v>10</v>
      </c>
      <c r="H21" s="60">
        <v>79.667000000000002</v>
      </c>
      <c r="I21" s="69">
        <v>70.195999999999998</v>
      </c>
      <c r="J21" s="55"/>
      <c r="K21" s="60">
        <v>70.195999999999998</v>
      </c>
      <c r="L21" s="69">
        <v>69.253</v>
      </c>
      <c r="M21" s="55"/>
      <c r="N21" s="60">
        <v>69.253</v>
      </c>
      <c r="O21" s="69">
        <v>68.725999999999999</v>
      </c>
      <c r="P21" s="55"/>
      <c r="Q21" s="60">
        <v>68.725999999999999</v>
      </c>
      <c r="R21" s="69">
        <v>68.55</v>
      </c>
      <c r="S21" s="55"/>
      <c r="T21" s="60">
        <v>68.55</v>
      </c>
      <c r="U21" s="69">
        <v>69.073999999999998</v>
      </c>
      <c r="V21" s="55"/>
      <c r="W21" s="60">
        <v>69.073999999999998</v>
      </c>
      <c r="X21" s="61">
        <v>68.55</v>
      </c>
      <c r="Y21" s="62">
        <v>56.553749999999994</v>
      </c>
      <c r="Z21" s="63"/>
      <c r="AA21" s="63" t="s">
        <v>104</v>
      </c>
      <c r="AB21" s="64" t="s">
        <v>7</v>
      </c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</row>
    <row r="22" spans="1:94" s="92" customFormat="1">
      <c r="A22" s="84" t="s">
        <v>5</v>
      </c>
      <c r="B22" s="84"/>
      <c r="C22" s="85"/>
      <c r="D22" s="86"/>
      <c r="E22" s="86"/>
      <c r="F22" s="87"/>
      <c r="G22" s="84"/>
      <c r="H22" s="88"/>
      <c r="I22" s="87"/>
      <c r="J22" s="84"/>
      <c r="K22" s="88"/>
      <c r="L22" s="87"/>
      <c r="M22" s="84"/>
      <c r="N22" s="88"/>
      <c r="O22" s="87"/>
      <c r="P22" s="84"/>
      <c r="Q22" s="88"/>
      <c r="R22" s="87"/>
      <c r="S22" s="84"/>
      <c r="T22" s="88"/>
      <c r="U22" s="87"/>
      <c r="V22" s="84"/>
      <c r="W22" s="88"/>
      <c r="X22" s="89"/>
      <c r="Y22" s="90"/>
      <c r="Z22" s="91"/>
      <c r="AA22" s="91"/>
    </row>
    <row r="23" spans="1:94" s="27" customFormat="1">
      <c r="A23" s="55" t="s">
        <v>48</v>
      </c>
      <c r="B23" s="55" t="s">
        <v>76</v>
      </c>
      <c r="C23" s="56" t="s">
        <v>5</v>
      </c>
      <c r="D23" s="57" t="s">
        <v>5</v>
      </c>
      <c r="E23" s="58">
        <v>0.81699999999999995</v>
      </c>
      <c r="F23" s="68">
        <v>63.69</v>
      </c>
      <c r="G23" s="55"/>
      <c r="H23" s="60">
        <v>63.69</v>
      </c>
      <c r="I23" s="59">
        <v>62.05</v>
      </c>
      <c r="J23" s="55"/>
      <c r="K23" s="60">
        <v>62.05</v>
      </c>
      <c r="L23" s="59">
        <v>61.454000000000001</v>
      </c>
      <c r="M23" s="55"/>
      <c r="N23" s="60">
        <v>61.454000000000001</v>
      </c>
      <c r="O23" s="59">
        <v>61.04</v>
      </c>
      <c r="P23" s="55"/>
      <c r="Q23" s="60">
        <v>61.04</v>
      </c>
      <c r="R23" s="59">
        <v>61.094000000000001</v>
      </c>
      <c r="S23" s="55">
        <v>4</v>
      </c>
      <c r="T23" s="60">
        <v>65.093999999999994</v>
      </c>
      <c r="U23" s="59">
        <v>61.109000000000002</v>
      </c>
      <c r="V23" s="55"/>
      <c r="W23" s="60">
        <v>61.109000000000002</v>
      </c>
      <c r="X23" s="61">
        <v>61.04</v>
      </c>
      <c r="Y23" s="62">
        <v>49.869679999999995</v>
      </c>
      <c r="Z23" s="63">
        <v>1000</v>
      </c>
      <c r="AA23" s="63">
        <v>1000</v>
      </c>
      <c r="AB23" s="64" t="s">
        <v>5</v>
      </c>
      <c r="AC23" s="65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</row>
    <row r="24" spans="1:94" s="27" customFormat="1">
      <c r="A24" s="70" t="s">
        <v>43</v>
      </c>
      <c r="B24" s="70" t="s">
        <v>44</v>
      </c>
      <c r="C24" s="67" t="s">
        <v>5</v>
      </c>
      <c r="D24" s="57" t="s">
        <v>5</v>
      </c>
      <c r="E24" s="78">
        <v>0.81699999999999995</v>
      </c>
      <c r="F24" s="74">
        <v>69.415000000000006</v>
      </c>
      <c r="G24" s="70">
        <v>4</v>
      </c>
      <c r="H24" s="79">
        <v>73.415000000000006</v>
      </c>
      <c r="I24" s="69">
        <v>68.355999999999995</v>
      </c>
      <c r="J24" s="70"/>
      <c r="K24" s="79">
        <v>68.355999999999995</v>
      </c>
      <c r="L24" s="69">
        <v>69.188000000000002</v>
      </c>
      <c r="M24" s="70"/>
      <c r="N24" s="79">
        <v>69.188000000000002</v>
      </c>
      <c r="O24" s="69">
        <v>66.201999999999998</v>
      </c>
      <c r="P24" s="70"/>
      <c r="Q24" s="79">
        <v>66.201999999999998</v>
      </c>
      <c r="R24" s="69">
        <v>77.55</v>
      </c>
      <c r="S24" s="70"/>
      <c r="T24" s="79">
        <v>77.55</v>
      </c>
      <c r="U24" s="69">
        <v>66.662999999999997</v>
      </c>
      <c r="V24" s="70"/>
      <c r="W24" s="79">
        <v>66.662999999999997</v>
      </c>
      <c r="X24" s="80">
        <v>66.201999999999998</v>
      </c>
      <c r="Y24" s="81">
        <v>54.087033999999996</v>
      </c>
      <c r="Z24" s="63">
        <f>1000/Y24*Y23</f>
        <v>922.02652487840248</v>
      </c>
      <c r="AA24" s="82">
        <v>922.02652487840237</v>
      </c>
      <c r="AB24" s="65" t="s">
        <v>5</v>
      </c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</row>
    <row r="25" spans="1:94" s="92" customFormat="1">
      <c r="A25" s="84" t="s">
        <v>4</v>
      </c>
      <c r="B25" s="84"/>
      <c r="C25" s="85"/>
      <c r="D25" s="86"/>
      <c r="E25" s="86"/>
      <c r="F25" s="87"/>
      <c r="G25" s="84"/>
      <c r="H25" s="88"/>
      <c r="I25" s="87"/>
      <c r="J25" s="84"/>
      <c r="K25" s="88"/>
      <c r="L25" s="87"/>
      <c r="M25" s="84"/>
      <c r="N25" s="88"/>
      <c r="O25" s="87"/>
      <c r="P25" s="84"/>
      <c r="Q25" s="88"/>
      <c r="R25" s="87"/>
      <c r="S25" s="84"/>
      <c r="T25" s="88"/>
      <c r="U25" s="87"/>
      <c r="V25" s="84"/>
      <c r="W25" s="88"/>
      <c r="X25" s="89"/>
      <c r="Y25" s="90"/>
      <c r="Z25" s="63"/>
      <c r="AA25" s="91"/>
    </row>
    <row r="26" spans="1:94" s="27" customFormat="1">
      <c r="A26" s="55" t="s">
        <v>40</v>
      </c>
      <c r="B26" s="70" t="s">
        <v>77</v>
      </c>
      <c r="C26" s="67" t="s">
        <v>4</v>
      </c>
      <c r="D26" s="57" t="s">
        <v>4</v>
      </c>
      <c r="E26" s="58">
        <v>0.83299999999999996</v>
      </c>
      <c r="F26" s="68" t="s">
        <v>100</v>
      </c>
      <c r="G26" s="55"/>
      <c r="H26" s="60" t="s">
        <v>104</v>
      </c>
      <c r="I26" s="59">
        <v>61.551000000000002</v>
      </c>
      <c r="J26" s="55"/>
      <c r="K26" s="60">
        <v>61.551000000000002</v>
      </c>
      <c r="L26" s="59">
        <v>62.091000000000001</v>
      </c>
      <c r="M26" s="55"/>
      <c r="N26" s="60">
        <v>62.091000000000001</v>
      </c>
      <c r="O26" s="59" t="s">
        <v>100</v>
      </c>
      <c r="P26" s="55"/>
      <c r="Q26" s="60" t="s">
        <v>104</v>
      </c>
      <c r="R26" s="69">
        <v>61.731000000000002</v>
      </c>
      <c r="S26" s="55"/>
      <c r="T26" s="60">
        <v>61.731000000000002</v>
      </c>
      <c r="U26" s="59">
        <v>61.194000000000003</v>
      </c>
      <c r="V26" s="55"/>
      <c r="W26" s="60">
        <v>61.194000000000003</v>
      </c>
      <c r="X26" s="61">
        <v>61.194000000000003</v>
      </c>
      <c r="Y26" s="62">
        <v>50.974601999999997</v>
      </c>
      <c r="Z26" s="63">
        <v>1000</v>
      </c>
      <c r="AA26" s="63">
        <v>978.32406813102727</v>
      </c>
      <c r="AB26" s="64" t="s">
        <v>4</v>
      </c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</row>
    <row r="27" spans="1:94" s="64" customFormat="1">
      <c r="A27" s="55" t="s">
        <v>97</v>
      </c>
      <c r="B27" s="55" t="s">
        <v>98</v>
      </c>
      <c r="C27" s="56" t="s">
        <v>4</v>
      </c>
      <c r="D27" s="57" t="s">
        <v>4</v>
      </c>
      <c r="E27" s="58">
        <v>0.83299999999999996</v>
      </c>
      <c r="F27" s="68">
        <v>63.423999999999999</v>
      </c>
      <c r="G27" s="55"/>
      <c r="H27" s="60">
        <v>63.423999999999999</v>
      </c>
      <c r="I27" s="59">
        <v>63.304000000000002</v>
      </c>
      <c r="J27" s="55"/>
      <c r="K27" s="60">
        <v>63.304000000000002</v>
      </c>
      <c r="L27" s="59">
        <v>63.011000000000003</v>
      </c>
      <c r="M27" s="55"/>
      <c r="N27" s="60">
        <v>63.011000000000003</v>
      </c>
      <c r="O27" s="59">
        <v>62.750999999999998</v>
      </c>
      <c r="P27" s="55">
        <v>4</v>
      </c>
      <c r="Q27" s="60">
        <v>66.751000000000005</v>
      </c>
      <c r="R27" s="59">
        <v>61.363999999999997</v>
      </c>
      <c r="S27" s="55"/>
      <c r="T27" s="60">
        <v>61.363999999999997</v>
      </c>
      <c r="U27" s="59" t="s">
        <v>100</v>
      </c>
      <c r="V27" s="55"/>
      <c r="W27" s="60" t="s">
        <v>104</v>
      </c>
      <c r="X27" s="61">
        <v>61.363999999999997</v>
      </c>
      <c r="Y27" s="62">
        <v>51.116211999999997</v>
      </c>
      <c r="Z27" s="63">
        <f>1000/Y27*Y26</f>
        <v>997.22964604654203</v>
      </c>
      <c r="AA27" s="63">
        <v>975.61376418111729</v>
      </c>
      <c r="AB27" s="64" t="s">
        <v>4</v>
      </c>
    </row>
    <row r="28" spans="1:94" s="64" customFormat="1">
      <c r="A28" s="70" t="s">
        <v>56</v>
      </c>
      <c r="B28" s="70" t="s">
        <v>99</v>
      </c>
      <c r="C28" s="67" t="s">
        <v>4</v>
      </c>
      <c r="D28" s="57" t="s">
        <v>4</v>
      </c>
      <c r="E28" s="58">
        <v>0.83299999999999996</v>
      </c>
      <c r="F28" s="59">
        <v>64.798000000000002</v>
      </c>
      <c r="G28" s="55">
        <v>2</v>
      </c>
      <c r="H28" s="60">
        <v>66.798000000000002</v>
      </c>
      <c r="I28" s="59">
        <v>64.713999999999999</v>
      </c>
      <c r="J28" s="55"/>
      <c r="K28" s="60">
        <v>64.713999999999999</v>
      </c>
      <c r="L28" s="59">
        <v>62.53</v>
      </c>
      <c r="M28" s="55"/>
      <c r="N28" s="60">
        <v>62.53</v>
      </c>
      <c r="O28" s="59">
        <v>62.625</v>
      </c>
      <c r="P28" s="55"/>
      <c r="Q28" s="60">
        <v>62.625</v>
      </c>
      <c r="R28" s="59">
        <v>62.837000000000003</v>
      </c>
      <c r="S28" s="55">
        <v>2</v>
      </c>
      <c r="T28" s="60">
        <v>64.837000000000003</v>
      </c>
      <c r="U28" s="59">
        <v>63.499000000000002</v>
      </c>
      <c r="V28" s="55"/>
      <c r="W28" s="60">
        <v>63.499000000000002</v>
      </c>
      <c r="X28" s="61">
        <v>62.53</v>
      </c>
      <c r="Y28" s="62">
        <v>52.087489999999995</v>
      </c>
      <c r="Z28" s="63">
        <f>1000/Y28*Y26</f>
        <v>978.63425555733249</v>
      </c>
      <c r="AA28" s="63">
        <v>957.4214461092289</v>
      </c>
      <c r="AB28" s="64" t="s">
        <v>4</v>
      </c>
      <c r="AC28" s="65"/>
    </row>
    <row r="29" spans="1:94" s="27" customFormat="1">
      <c r="A29" s="55" t="s">
        <v>27</v>
      </c>
      <c r="B29" s="70" t="s">
        <v>49</v>
      </c>
      <c r="C29" s="67" t="s">
        <v>4</v>
      </c>
      <c r="D29" s="57" t="s">
        <v>4</v>
      </c>
      <c r="E29" s="58">
        <v>0.83299999999999996</v>
      </c>
      <c r="F29" s="59">
        <v>67.509</v>
      </c>
      <c r="G29" s="55"/>
      <c r="H29" s="60">
        <v>67.509</v>
      </c>
      <c r="I29" s="59">
        <v>65.367000000000004</v>
      </c>
      <c r="J29" s="55"/>
      <c r="K29" s="60">
        <v>65.367000000000004</v>
      </c>
      <c r="L29" s="59">
        <v>64.372</v>
      </c>
      <c r="M29" s="55"/>
      <c r="N29" s="60">
        <v>64.372</v>
      </c>
      <c r="O29" s="59">
        <v>64.926000000000002</v>
      </c>
      <c r="P29" s="55"/>
      <c r="Q29" s="60">
        <v>64.926000000000002</v>
      </c>
      <c r="R29" s="59">
        <v>64.623999999999995</v>
      </c>
      <c r="S29" s="55"/>
      <c r="T29" s="60">
        <v>64.623999999999995</v>
      </c>
      <c r="U29" s="59">
        <v>65.19</v>
      </c>
      <c r="V29" s="55"/>
      <c r="W29" s="60">
        <v>65.19</v>
      </c>
      <c r="X29" s="61">
        <v>64.372</v>
      </c>
      <c r="Y29" s="62">
        <v>53.621876</v>
      </c>
      <c r="Z29" s="82">
        <f>1000/Y29*Y26</f>
        <v>950.63070900391472</v>
      </c>
      <c r="AA29" s="63">
        <v>930.02490252299253</v>
      </c>
      <c r="AB29" s="64" t="s">
        <v>4</v>
      </c>
      <c r="AC29" s="71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</row>
    <row r="30" spans="1:94" s="27" customFormat="1">
      <c r="A30" s="55" t="s">
        <v>32</v>
      </c>
      <c r="B30" s="55" t="s">
        <v>78</v>
      </c>
      <c r="C30" s="56" t="s">
        <v>4</v>
      </c>
      <c r="D30" s="57" t="s">
        <v>4</v>
      </c>
      <c r="E30" s="58">
        <v>0.83299999999999996</v>
      </c>
      <c r="F30" s="59">
        <v>69.146000000000001</v>
      </c>
      <c r="G30" s="55"/>
      <c r="H30" s="60">
        <v>69.146000000000001</v>
      </c>
      <c r="I30" s="59">
        <v>68.025999999999996</v>
      </c>
      <c r="J30" s="55"/>
      <c r="K30" s="60">
        <v>68.025999999999996</v>
      </c>
      <c r="L30" s="59">
        <v>68.293000000000006</v>
      </c>
      <c r="M30" s="55"/>
      <c r="N30" s="60">
        <v>68.293000000000006</v>
      </c>
      <c r="O30" s="59">
        <v>67.44</v>
      </c>
      <c r="P30" s="55"/>
      <c r="Q30" s="60">
        <v>67.44</v>
      </c>
      <c r="R30" s="59">
        <v>66.072000000000003</v>
      </c>
      <c r="S30" s="55"/>
      <c r="T30" s="60">
        <v>66.072000000000003</v>
      </c>
      <c r="U30" s="59">
        <v>66.314999999999998</v>
      </c>
      <c r="V30" s="55"/>
      <c r="W30" s="60">
        <v>66.314999999999998</v>
      </c>
      <c r="X30" s="61">
        <v>66.072000000000003</v>
      </c>
      <c r="Y30" s="62">
        <v>55.037976</v>
      </c>
      <c r="Z30" s="63">
        <f>1000/Y30*Y26</f>
        <v>926.17144932800579</v>
      </c>
      <c r="AA30" s="63">
        <v>906.09582009338419</v>
      </c>
      <c r="AB30" s="64" t="s">
        <v>4</v>
      </c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</row>
    <row r="31" spans="1:94" s="27" customFormat="1">
      <c r="A31" s="55" t="s">
        <v>91</v>
      </c>
      <c r="B31" s="55" t="s">
        <v>92</v>
      </c>
      <c r="C31" s="67" t="s">
        <v>4</v>
      </c>
      <c r="D31" s="57" t="s">
        <v>4</v>
      </c>
      <c r="E31" s="58">
        <v>0.83299999999999996</v>
      </c>
      <c r="F31" s="59">
        <v>70.673000000000002</v>
      </c>
      <c r="G31" s="55"/>
      <c r="H31" s="60">
        <v>70.673000000000002</v>
      </c>
      <c r="I31" s="59">
        <v>69.905000000000001</v>
      </c>
      <c r="J31" s="55"/>
      <c r="K31" s="60">
        <v>69.905000000000001</v>
      </c>
      <c r="L31" s="59">
        <v>68.332999999999998</v>
      </c>
      <c r="M31" s="55">
        <v>2</v>
      </c>
      <c r="N31" s="60">
        <v>70.332999999999998</v>
      </c>
      <c r="O31" s="59">
        <v>69.393000000000001</v>
      </c>
      <c r="P31" s="55"/>
      <c r="Q31" s="60">
        <v>69.393000000000001</v>
      </c>
      <c r="R31" s="59">
        <v>68.290000000000006</v>
      </c>
      <c r="S31" s="55"/>
      <c r="T31" s="60">
        <v>68.290000000000006</v>
      </c>
      <c r="U31" s="59">
        <v>68.406000000000006</v>
      </c>
      <c r="V31" s="55"/>
      <c r="W31" s="60">
        <v>68.406000000000006</v>
      </c>
      <c r="X31" s="61">
        <v>68.290000000000006</v>
      </c>
      <c r="Y31" s="62">
        <v>56.885570000000001</v>
      </c>
      <c r="Z31" s="63"/>
      <c r="AA31" s="63" t="s">
        <v>104</v>
      </c>
      <c r="AB31" s="64" t="s">
        <v>4</v>
      </c>
      <c r="AC31" s="71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</row>
    <row r="32" spans="1:94" s="92" customFormat="1">
      <c r="A32" s="84" t="s">
        <v>3</v>
      </c>
      <c r="B32" s="84"/>
      <c r="C32" s="85"/>
      <c r="D32" s="86"/>
      <c r="E32" s="86"/>
      <c r="F32" s="87"/>
      <c r="G32" s="84"/>
      <c r="H32" s="88"/>
      <c r="I32" s="87"/>
      <c r="J32" s="84"/>
      <c r="K32" s="88"/>
      <c r="L32" s="87"/>
      <c r="M32" s="84"/>
      <c r="N32" s="88"/>
      <c r="O32" s="87"/>
      <c r="P32" s="84"/>
      <c r="Q32" s="88"/>
      <c r="R32" s="87"/>
      <c r="S32" s="84"/>
      <c r="T32" s="88"/>
      <c r="U32" s="87"/>
      <c r="V32" s="84"/>
      <c r="W32" s="88"/>
      <c r="X32" s="89"/>
      <c r="Y32" s="90"/>
      <c r="Z32" s="91"/>
      <c r="AA32" s="91"/>
    </row>
    <row r="33" spans="1:94" s="46" customFormat="1">
      <c r="A33" s="55" t="s">
        <v>72</v>
      </c>
      <c r="B33" s="55" t="s">
        <v>71</v>
      </c>
      <c r="C33" s="56" t="s">
        <v>3</v>
      </c>
      <c r="D33" s="57" t="s">
        <v>3</v>
      </c>
      <c r="E33" s="58">
        <v>0.83899999999999997</v>
      </c>
      <c r="F33" s="59" t="s">
        <v>100</v>
      </c>
      <c r="G33" s="55"/>
      <c r="H33" s="60" t="s">
        <v>104</v>
      </c>
      <c r="I33" s="59">
        <v>68.052000000000007</v>
      </c>
      <c r="J33" s="55"/>
      <c r="K33" s="60">
        <v>68.052000000000007</v>
      </c>
      <c r="L33" s="59">
        <v>67.747</v>
      </c>
      <c r="M33" s="55"/>
      <c r="N33" s="60">
        <v>67.747</v>
      </c>
      <c r="O33" s="59">
        <v>67.59</v>
      </c>
      <c r="P33" s="55"/>
      <c r="Q33" s="60">
        <v>67.59</v>
      </c>
      <c r="R33" s="59">
        <v>66.460999999999999</v>
      </c>
      <c r="S33" s="55"/>
      <c r="T33" s="60">
        <v>66.460999999999999</v>
      </c>
      <c r="U33" s="59">
        <v>66.888000000000005</v>
      </c>
      <c r="V33" s="55"/>
      <c r="W33" s="60">
        <v>66.888000000000005</v>
      </c>
      <c r="X33" s="61">
        <v>66.460999999999999</v>
      </c>
      <c r="Y33" s="62">
        <v>55.760778999999999</v>
      </c>
      <c r="Z33" s="63">
        <v>1000</v>
      </c>
      <c r="AA33" s="63">
        <v>894.35048961564894</v>
      </c>
      <c r="AB33" s="64" t="s">
        <v>3</v>
      </c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</row>
    <row r="34" spans="1:94" s="27" customFormat="1">
      <c r="A34" s="55" t="s">
        <v>70</v>
      </c>
      <c r="B34" s="55" t="s">
        <v>71</v>
      </c>
      <c r="C34" s="56" t="s">
        <v>3</v>
      </c>
      <c r="D34" s="57" t="s">
        <v>3</v>
      </c>
      <c r="E34" s="58">
        <v>0.83899999999999997</v>
      </c>
      <c r="F34" s="59" t="s">
        <v>101</v>
      </c>
      <c r="G34" s="55"/>
      <c r="H34" s="60" t="s">
        <v>104</v>
      </c>
      <c r="I34" s="59" t="s">
        <v>101</v>
      </c>
      <c r="J34" s="55">
        <v>20</v>
      </c>
      <c r="K34" s="60" t="s">
        <v>104</v>
      </c>
      <c r="L34" s="59" t="s">
        <v>101</v>
      </c>
      <c r="M34" s="55">
        <v>22</v>
      </c>
      <c r="N34" s="60" t="s">
        <v>104</v>
      </c>
      <c r="O34" s="59">
        <v>72.869</v>
      </c>
      <c r="P34" s="55"/>
      <c r="Q34" s="60">
        <v>72.869</v>
      </c>
      <c r="R34" s="59">
        <v>71.650999999999996</v>
      </c>
      <c r="S34" s="55"/>
      <c r="T34" s="60">
        <v>71.650999999999996</v>
      </c>
      <c r="U34" s="59">
        <v>71.108999999999995</v>
      </c>
      <c r="V34" s="55">
        <v>10</v>
      </c>
      <c r="W34" s="60">
        <v>81.108999999999995</v>
      </c>
      <c r="X34" s="61">
        <v>71.650999999999996</v>
      </c>
      <c r="Y34" s="62">
        <v>60.115188999999994</v>
      </c>
      <c r="Z34" s="63">
        <f>1000/Y34*Y33</f>
        <v>927.56556084353338</v>
      </c>
      <c r="AA34" s="63">
        <v>829.56871349102801</v>
      </c>
      <c r="AB34" s="64" t="s">
        <v>3</v>
      </c>
      <c r="AC34" s="71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</row>
    <row r="35" spans="1:94" s="92" customFormat="1">
      <c r="A35" s="84" t="s">
        <v>1</v>
      </c>
      <c r="B35" s="84"/>
      <c r="C35" s="85"/>
      <c r="D35" s="86"/>
      <c r="E35" s="86"/>
      <c r="F35" s="87"/>
      <c r="G35" s="84"/>
      <c r="H35" s="88"/>
      <c r="I35" s="87"/>
      <c r="J35" s="84"/>
      <c r="K35" s="88"/>
      <c r="L35" s="87"/>
      <c r="M35" s="84"/>
      <c r="N35" s="88"/>
      <c r="O35" s="87"/>
      <c r="P35" s="84"/>
      <c r="Q35" s="88"/>
      <c r="R35" s="87"/>
      <c r="S35" s="84"/>
      <c r="T35" s="88"/>
      <c r="U35" s="87"/>
      <c r="V35" s="84"/>
      <c r="W35" s="88"/>
      <c r="X35" s="89"/>
      <c r="Y35" s="90"/>
      <c r="Z35" s="63"/>
      <c r="AA35" s="91"/>
    </row>
    <row r="36" spans="1:94" s="27" customFormat="1">
      <c r="A36" s="55" t="s">
        <v>67</v>
      </c>
      <c r="B36" s="55" t="s">
        <v>86</v>
      </c>
      <c r="C36" s="56" t="s">
        <v>1</v>
      </c>
      <c r="D36" s="57" t="s">
        <v>1</v>
      </c>
      <c r="E36" s="58">
        <v>0.84099999999999997</v>
      </c>
      <c r="F36" s="59">
        <v>67.290999999999997</v>
      </c>
      <c r="G36" s="55"/>
      <c r="H36" s="60">
        <v>67.290999999999997</v>
      </c>
      <c r="I36" s="59">
        <v>65.798000000000002</v>
      </c>
      <c r="J36" s="55"/>
      <c r="K36" s="60">
        <v>65.798000000000002</v>
      </c>
      <c r="L36" s="59">
        <v>65.125</v>
      </c>
      <c r="M36" s="55"/>
      <c r="N36" s="60">
        <v>65.125</v>
      </c>
      <c r="O36" s="59" t="s">
        <v>102</v>
      </c>
      <c r="P36" s="55"/>
      <c r="Q36" s="60" t="s">
        <v>104</v>
      </c>
      <c r="R36" s="59" t="s">
        <v>102</v>
      </c>
      <c r="S36" s="55"/>
      <c r="T36" s="60" t="s">
        <v>104</v>
      </c>
      <c r="U36" s="59" t="s">
        <v>102</v>
      </c>
      <c r="V36" s="55"/>
      <c r="W36" s="60" t="s">
        <v>104</v>
      </c>
      <c r="X36" s="61">
        <v>65.125</v>
      </c>
      <c r="Y36" s="62">
        <v>54.770125</v>
      </c>
      <c r="Z36" s="63">
        <v>1000</v>
      </c>
      <c r="AA36" s="63">
        <v>910.52704371224274</v>
      </c>
      <c r="AB36" s="64" t="s">
        <v>1</v>
      </c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</row>
    <row r="37" spans="1:94" s="27" customFormat="1">
      <c r="A37" s="70" t="s">
        <v>41</v>
      </c>
      <c r="B37" s="70" t="s">
        <v>75</v>
      </c>
      <c r="C37" s="67" t="s">
        <v>1</v>
      </c>
      <c r="D37" s="57" t="s">
        <v>1</v>
      </c>
      <c r="E37" s="58">
        <v>0.84099999999999997</v>
      </c>
      <c r="F37" s="59">
        <v>67.472999999999999</v>
      </c>
      <c r="G37" s="55"/>
      <c r="H37" s="60">
        <v>67.472999999999999</v>
      </c>
      <c r="I37" s="59" t="s">
        <v>100</v>
      </c>
      <c r="J37" s="55"/>
      <c r="K37" s="60" t="s">
        <v>104</v>
      </c>
      <c r="L37" s="59">
        <v>66.974000000000004</v>
      </c>
      <c r="M37" s="55">
        <v>2</v>
      </c>
      <c r="N37" s="60">
        <v>68.974000000000004</v>
      </c>
      <c r="O37" s="59">
        <v>67.790999999999997</v>
      </c>
      <c r="P37" s="55"/>
      <c r="Q37" s="60">
        <v>67.790999999999997</v>
      </c>
      <c r="R37" s="59">
        <v>66.554000000000002</v>
      </c>
      <c r="S37" s="55"/>
      <c r="T37" s="60">
        <v>66.554000000000002</v>
      </c>
      <c r="U37" s="59">
        <v>66.91</v>
      </c>
      <c r="V37" s="55"/>
      <c r="W37" s="60">
        <v>66.91</v>
      </c>
      <c r="X37" s="61">
        <v>66.554000000000002</v>
      </c>
      <c r="Y37" s="62">
        <v>55.971913999999998</v>
      </c>
      <c r="Z37" s="63">
        <f>1000/Y37*Y36</f>
        <v>978.52871352585885</v>
      </c>
      <c r="AA37" s="63">
        <v>890.97685671424415</v>
      </c>
      <c r="AB37" s="64" t="s">
        <v>1</v>
      </c>
      <c r="AC37" s="65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</row>
    <row r="38" spans="1:94" s="92" customFormat="1">
      <c r="A38" s="84" t="s">
        <v>109</v>
      </c>
      <c r="B38" s="84"/>
      <c r="C38" s="85"/>
      <c r="D38" s="86"/>
      <c r="E38" s="86"/>
      <c r="F38" s="87"/>
      <c r="G38" s="84"/>
      <c r="H38" s="88"/>
      <c r="I38" s="87"/>
      <c r="J38" s="84"/>
      <c r="K38" s="88"/>
      <c r="L38" s="87"/>
      <c r="M38" s="84"/>
      <c r="N38" s="88"/>
      <c r="O38" s="87"/>
      <c r="P38" s="84"/>
      <c r="Q38" s="88"/>
      <c r="R38" s="87"/>
      <c r="S38" s="84"/>
      <c r="T38" s="88"/>
      <c r="U38" s="87"/>
      <c r="V38" s="84"/>
      <c r="W38" s="88"/>
      <c r="X38" s="89"/>
      <c r="Y38" s="90"/>
      <c r="Z38" s="63"/>
      <c r="AA38" s="91"/>
    </row>
    <row r="39" spans="1:94" s="27" customFormat="1">
      <c r="A39" s="55" t="s">
        <v>50</v>
      </c>
      <c r="B39" s="55" t="s">
        <v>88</v>
      </c>
      <c r="C39" s="67" t="s">
        <v>10</v>
      </c>
      <c r="D39" s="57" t="s">
        <v>31</v>
      </c>
      <c r="E39" s="58">
        <v>0.82299999999999995</v>
      </c>
      <c r="F39" s="59">
        <v>64.085999999999999</v>
      </c>
      <c r="G39" s="55"/>
      <c r="H39" s="60">
        <v>64.085999999999999</v>
      </c>
      <c r="I39" s="59">
        <v>64.180000000000007</v>
      </c>
      <c r="J39" s="55"/>
      <c r="K39" s="60">
        <v>64.180000000000007</v>
      </c>
      <c r="L39" s="59">
        <v>64.504999999999995</v>
      </c>
      <c r="M39" s="55"/>
      <c r="N39" s="60">
        <v>64.504999999999995</v>
      </c>
      <c r="O39" s="59">
        <v>63.343000000000004</v>
      </c>
      <c r="P39" s="55"/>
      <c r="Q39" s="60">
        <v>63.343000000000004</v>
      </c>
      <c r="R39" s="59">
        <v>63.344999999999999</v>
      </c>
      <c r="S39" s="55"/>
      <c r="T39" s="60">
        <v>63.344999999999999</v>
      </c>
      <c r="U39" s="59">
        <v>63.273000000000003</v>
      </c>
      <c r="V39" s="55"/>
      <c r="W39" s="60">
        <v>63.273000000000003</v>
      </c>
      <c r="X39" s="61">
        <v>63.273000000000003</v>
      </c>
      <c r="Y39" s="62">
        <v>52.073678999999998</v>
      </c>
      <c r="Z39" s="63"/>
      <c r="AA39" s="63" t="s">
        <v>104</v>
      </c>
      <c r="AB39" s="64" t="s">
        <v>105</v>
      </c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</row>
    <row r="40" spans="1:94" s="27" customFormat="1">
      <c r="A40" s="55" t="s">
        <v>47</v>
      </c>
      <c r="B40" s="70" t="s">
        <v>64</v>
      </c>
      <c r="C40" s="67" t="s">
        <v>54</v>
      </c>
      <c r="D40" s="57" t="s">
        <v>31</v>
      </c>
      <c r="E40" s="58">
        <v>0.875</v>
      </c>
      <c r="F40" s="59">
        <v>66.765000000000001</v>
      </c>
      <c r="G40" s="55">
        <v>10</v>
      </c>
      <c r="H40" s="60">
        <v>76.765000000000001</v>
      </c>
      <c r="I40" s="59">
        <v>63.616</v>
      </c>
      <c r="J40" s="55"/>
      <c r="K40" s="60">
        <v>63.616</v>
      </c>
      <c r="L40" s="59">
        <v>64.055000000000007</v>
      </c>
      <c r="M40" s="55"/>
      <c r="N40" s="60">
        <v>64.055000000000007</v>
      </c>
      <c r="O40" s="69">
        <v>66.933000000000007</v>
      </c>
      <c r="P40" s="55">
        <v>2</v>
      </c>
      <c r="Q40" s="60">
        <v>68.933000000000007</v>
      </c>
      <c r="R40" s="69">
        <v>63.642000000000003</v>
      </c>
      <c r="S40" s="55">
        <v>2</v>
      </c>
      <c r="T40" s="60">
        <v>65.641999999999996</v>
      </c>
      <c r="U40" s="59">
        <v>63.087000000000003</v>
      </c>
      <c r="V40" s="55"/>
      <c r="W40" s="60">
        <v>63.087000000000003</v>
      </c>
      <c r="X40" s="61">
        <v>63.087000000000003</v>
      </c>
      <c r="Y40" s="62">
        <v>55.201125000000005</v>
      </c>
      <c r="Z40" s="63">
        <v>1000</v>
      </c>
      <c r="AA40" s="63">
        <v>903.41781983609917</v>
      </c>
      <c r="AB40" s="64" t="s">
        <v>105</v>
      </c>
      <c r="AC40" s="65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</row>
    <row r="41" spans="1:94" s="64" customFormat="1">
      <c r="A41" s="70" t="s">
        <v>58</v>
      </c>
      <c r="B41" s="70" t="s">
        <v>63</v>
      </c>
      <c r="C41" s="67" t="s">
        <v>8</v>
      </c>
      <c r="D41" s="57" t="s">
        <v>31</v>
      </c>
      <c r="E41" s="58">
        <v>0.83499999999999996</v>
      </c>
      <c r="F41" s="59">
        <v>69.638000000000005</v>
      </c>
      <c r="G41" s="55"/>
      <c r="H41" s="60">
        <v>69.638000000000005</v>
      </c>
      <c r="I41" s="59">
        <v>68.808000000000007</v>
      </c>
      <c r="J41" s="55"/>
      <c r="K41" s="60">
        <v>68.808000000000007</v>
      </c>
      <c r="L41" s="59">
        <v>69.015000000000001</v>
      </c>
      <c r="M41" s="55"/>
      <c r="N41" s="60">
        <v>69.015000000000001</v>
      </c>
      <c r="O41" s="59">
        <v>68.531999999999996</v>
      </c>
      <c r="P41" s="55"/>
      <c r="Q41" s="60">
        <v>68.531999999999996</v>
      </c>
      <c r="R41" s="59">
        <v>68.521000000000001</v>
      </c>
      <c r="S41" s="55"/>
      <c r="T41" s="60">
        <v>68.521000000000001</v>
      </c>
      <c r="U41" s="59">
        <v>68.379000000000005</v>
      </c>
      <c r="V41" s="55"/>
      <c r="W41" s="60">
        <v>68.379000000000005</v>
      </c>
      <c r="X41" s="61">
        <v>68.379000000000005</v>
      </c>
      <c r="Y41" s="62">
        <v>57.096465000000002</v>
      </c>
      <c r="Z41" s="63"/>
      <c r="AA41" s="63" t="s">
        <v>104</v>
      </c>
      <c r="AB41" s="64" t="s">
        <v>105</v>
      </c>
      <c r="AC41" s="65"/>
    </row>
    <row r="42" spans="1:94" s="27" customFormat="1">
      <c r="A42" s="55" t="s">
        <v>51</v>
      </c>
      <c r="B42" s="66" t="s">
        <v>52</v>
      </c>
      <c r="C42" s="56" t="s">
        <v>6</v>
      </c>
      <c r="D42" s="57" t="s">
        <v>31</v>
      </c>
      <c r="E42" s="58">
        <v>0.91</v>
      </c>
      <c r="F42" s="59">
        <v>67.897999999999996</v>
      </c>
      <c r="G42" s="55"/>
      <c r="H42" s="60">
        <v>67.897999999999996</v>
      </c>
      <c r="I42" s="59">
        <v>66.683999999999997</v>
      </c>
      <c r="J42" s="55"/>
      <c r="K42" s="60">
        <v>66.683999999999997</v>
      </c>
      <c r="L42" s="59">
        <v>65.614000000000004</v>
      </c>
      <c r="M42" s="55"/>
      <c r="N42" s="60">
        <v>65.614000000000004</v>
      </c>
      <c r="O42" s="69" t="s">
        <v>102</v>
      </c>
      <c r="P42" s="55"/>
      <c r="Q42" s="60" t="s">
        <v>104</v>
      </c>
      <c r="R42" s="69" t="s">
        <v>102</v>
      </c>
      <c r="S42" s="55"/>
      <c r="T42" s="60" t="s">
        <v>104</v>
      </c>
      <c r="U42" s="59" t="s">
        <v>102</v>
      </c>
      <c r="V42" s="55"/>
      <c r="W42" s="60" t="s">
        <v>104</v>
      </c>
      <c r="X42" s="61">
        <v>65.614000000000004</v>
      </c>
      <c r="Y42" s="62">
        <v>59.708740000000006</v>
      </c>
      <c r="Z42" s="63">
        <v>1000</v>
      </c>
      <c r="AA42" s="63">
        <v>835.21574898415201</v>
      </c>
      <c r="AB42" s="64" t="s">
        <v>105</v>
      </c>
      <c r="AC42" s="65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</row>
    <row r="43" spans="1:94" s="27" customFormat="1">
      <c r="A43" s="70" t="s">
        <v>60</v>
      </c>
      <c r="B43" s="70" t="s">
        <v>42</v>
      </c>
      <c r="C43" s="67" t="s">
        <v>2</v>
      </c>
      <c r="D43" s="57" t="s">
        <v>31</v>
      </c>
      <c r="E43" s="58">
        <v>0.87</v>
      </c>
      <c r="F43" s="59">
        <v>69.444000000000003</v>
      </c>
      <c r="G43" s="55"/>
      <c r="H43" s="60">
        <v>69.444000000000003</v>
      </c>
      <c r="I43" s="59">
        <v>68.778999999999996</v>
      </c>
      <c r="J43" s="55"/>
      <c r="K43" s="60">
        <v>68.778999999999996</v>
      </c>
      <c r="L43" s="59">
        <v>68.652000000000001</v>
      </c>
      <c r="M43" s="55">
        <v>2</v>
      </c>
      <c r="N43" s="60">
        <v>70.652000000000001</v>
      </c>
      <c r="O43" s="69">
        <v>68.525999999999996</v>
      </c>
      <c r="P43" s="55">
        <v>4</v>
      </c>
      <c r="Q43" s="60">
        <v>72.525999999999996</v>
      </c>
      <c r="R43" s="59">
        <v>68.700999999999993</v>
      </c>
      <c r="S43" s="55"/>
      <c r="T43" s="60">
        <v>68.700999999999993</v>
      </c>
      <c r="U43" s="69">
        <v>69.295000000000002</v>
      </c>
      <c r="V43" s="55"/>
      <c r="W43" s="60">
        <v>69.295000000000002</v>
      </c>
      <c r="X43" s="61">
        <v>68.700999999999993</v>
      </c>
      <c r="Y43" s="62">
        <v>59.769869999999997</v>
      </c>
      <c r="Z43" s="63">
        <v>1000</v>
      </c>
      <c r="AA43" s="63">
        <v>834.36152697002683</v>
      </c>
      <c r="AB43" s="64" t="s">
        <v>105</v>
      </c>
      <c r="AC43" s="65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</row>
    <row r="44" spans="1:94" s="64" customFormat="1">
      <c r="A44" s="55" t="s">
        <v>89</v>
      </c>
      <c r="B44" s="55" t="s">
        <v>90</v>
      </c>
      <c r="C44" s="67" t="s">
        <v>12</v>
      </c>
      <c r="D44" s="57" t="s">
        <v>31</v>
      </c>
      <c r="E44" s="58">
        <v>0.86899999999999999</v>
      </c>
      <c r="F44" s="59">
        <v>75.364999999999995</v>
      </c>
      <c r="G44" s="55"/>
      <c r="H44" s="60">
        <v>75.364999999999995</v>
      </c>
      <c r="I44" s="59" t="s">
        <v>101</v>
      </c>
      <c r="J44" s="55"/>
      <c r="K44" s="60" t="s">
        <v>104</v>
      </c>
      <c r="L44" s="59" t="s">
        <v>101</v>
      </c>
      <c r="M44" s="55">
        <v>20</v>
      </c>
      <c r="N44" s="60" t="s">
        <v>104</v>
      </c>
      <c r="O44" s="59">
        <v>68.081000000000003</v>
      </c>
      <c r="P44" s="55">
        <v>10</v>
      </c>
      <c r="Q44" s="60">
        <v>78.081000000000003</v>
      </c>
      <c r="R44" s="59">
        <v>70.346999999999994</v>
      </c>
      <c r="S44" s="55">
        <v>10</v>
      </c>
      <c r="T44" s="60">
        <v>80.346999999999994</v>
      </c>
      <c r="U44" s="59">
        <v>69.486999999999995</v>
      </c>
      <c r="V44" s="55"/>
      <c r="W44" s="60">
        <v>69.486999999999995</v>
      </c>
      <c r="X44" s="61">
        <v>69.486999999999995</v>
      </c>
      <c r="Y44" s="62">
        <v>60.384202999999992</v>
      </c>
      <c r="Z44" s="63"/>
      <c r="AA44" s="63" t="s">
        <v>104</v>
      </c>
      <c r="AB44" s="64" t="s">
        <v>105</v>
      </c>
      <c r="AC44" s="71"/>
    </row>
    <row r="45" spans="1:94" s="64" customFormat="1">
      <c r="A45" s="55" t="s">
        <v>45</v>
      </c>
      <c r="B45" s="55" t="s">
        <v>59</v>
      </c>
      <c r="C45" s="56" t="s">
        <v>0</v>
      </c>
      <c r="D45" s="57" t="s">
        <v>31</v>
      </c>
      <c r="E45" s="58">
        <v>1</v>
      </c>
      <c r="F45" s="59">
        <v>63.109000000000002</v>
      </c>
      <c r="G45" s="55"/>
      <c r="H45" s="60">
        <v>63.109000000000002</v>
      </c>
      <c r="I45" s="59">
        <v>64.213999999999999</v>
      </c>
      <c r="J45" s="55"/>
      <c r="K45" s="60">
        <v>64.213999999999999</v>
      </c>
      <c r="L45" s="59">
        <v>61.277999999999999</v>
      </c>
      <c r="M45" s="55">
        <v>2</v>
      </c>
      <c r="N45" s="60">
        <v>63.277999999999999</v>
      </c>
      <c r="O45" s="69">
        <v>61.189</v>
      </c>
      <c r="P45" s="55">
        <v>2</v>
      </c>
      <c r="Q45" s="60">
        <v>63.189</v>
      </c>
      <c r="R45" s="69">
        <v>61.673999999999999</v>
      </c>
      <c r="S45" s="55"/>
      <c r="T45" s="60">
        <v>61.673999999999999</v>
      </c>
      <c r="U45" s="69" t="s">
        <v>100</v>
      </c>
      <c r="V45" s="55"/>
      <c r="W45" s="60" t="s">
        <v>104</v>
      </c>
      <c r="X45" s="61">
        <v>61.673999999999999</v>
      </c>
      <c r="Y45" s="62">
        <v>61.673999999999999</v>
      </c>
      <c r="Z45" s="63">
        <v>1000</v>
      </c>
      <c r="AA45" s="63">
        <v>808.60135551447934</v>
      </c>
      <c r="AB45" s="64" t="s">
        <v>105</v>
      </c>
    </row>
    <row r="46" spans="1:94" s="92" customFormat="1">
      <c r="A46" s="84" t="s">
        <v>107</v>
      </c>
      <c r="B46" s="84"/>
      <c r="C46" s="85"/>
      <c r="D46" s="86"/>
      <c r="E46" s="86"/>
      <c r="F46" s="87"/>
      <c r="G46" s="84"/>
      <c r="H46" s="88"/>
      <c r="I46" s="87"/>
      <c r="J46" s="84"/>
      <c r="K46" s="88"/>
      <c r="L46" s="87"/>
      <c r="M46" s="84"/>
      <c r="N46" s="88"/>
      <c r="O46" s="87"/>
      <c r="P46" s="84"/>
      <c r="Q46" s="88"/>
      <c r="R46" s="87"/>
      <c r="S46" s="84"/>
      <c r="T46" s="88"/>
      <c r="U46" s="87"/>
      <c r="V46" s="84"/>
      <c r="W46" s="88"/>
      <c r="X46" s="89"/>
      <c r="Y46" s="90"/>
      <c r="Z46" s="91"/>
      <c r="AA46" s="91"/>
    </row>
    <row r="47" spans="1:94" s="27" customFormat="1">
      <c r="A47" s="55" t="s">
        <v>80</v>
      </c>
      <c r="B47" s="70" t="s">
        <v>81</v>
      </c>
      <c r="C47" s="56" t="s">
        <v>53</v>
      </c>
      <c r="D47" s="57" t="s">
        <v>28</v>
      </c>
      <c r="E47" s="58">
        <v>0.82</v>
      </c>
      <c r="F47" s="59" t="s">
        <v>101</v>
      </c>
      <c r="G47" s="55">
        <v>40</v>
      </c>
      <c r="H47" s="60" t="s">
        <v>104</v>
      </c>
      <c r="I47" s="59">
        <v>71.379000000000005</v>
      </c>
      <c r="J47" s="55"/>
      <c r="K47" s="60">
        <v>71.379000000000005</v>
      </c>
      <c r="L47" s="59">
        <v>69.918000000000006</v>
      </c>
      <c r="M47" s="55"/>
      <c r="N47" s="60">
        <v>69.918000000000006</v>
      </c>
      <c r="O47" s="69">
        <v>69.119</v>
      </c>
      <c r="P47" s="55"/>
      <c r="Q47" s="60">
        <v>69.119</v>
      </c>
      <c r="R47" s="59">
        <v>68.424000000000007</v>
      </c>
      <c r="S47" s="55"/>
      <c r="T47" s="60">
        <v>68.424000000000007</v>
      </c>
      <c r="U47" s="59">
        <v>68.444000000000003</v>
      </c>
      <c r="V47" s="55">
        <v>2</v>
      </c>
      <c r="W47" s="60">
        <v>70.444000000000003</v>
      </c>
      <c r="X47" s="61">
        <v>68.424000000000007</v>
      </c>
      <c r="Y47" s="62">
        <v>56.107680000000002</v>
      </c>
      <c r="Z47" s="63">
        <f>1000/Y47*Y8</f>
        <v>948.99450485209854</v>
      </c>
      <c r="AA47" s="63">
        <v>888.82092433691776</v>
      </c>
      <c r="AB47" s="64" t="s">
        <v>106</v>
      </c>
      <c r="AC47" s="65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</row>
    <row r="48" spans="1:94" s="64" customFormat="1">
      <c r="A48" s="70" t="s">
        <v>95</v>
      </c>
      <c r="B48" s="55" t="s">
        <v>96</v>
      </c>
      <c r="C48" s="67" t="s">
        <v>11</v>
      </c>
      <c r="D48" s="57" t="s">
        <v>28</v>
      </c>
      <c r="E48" s="58">
        <v>0.79100000000000004</v>
      </c>
      <c r="F48" s="69">
        <v>79.924999999999997</v>
      </c>
      <c r="G48" s="55"/>
      <c r="H48" s="60">
        <v>79.924999999999997</v>
      </c>
      <c r="I48" s="69">
        <v>76.584000000000003</v>
      </c>
      <c r="J48" s="55"/>
      <c r="K48" s="60">
        <v>76.584000000000003</v>
      </c>
      <c r="L48" s="69">
        <v>75.391999999999996</v>
      </c>
      <c r="M48" s="55"/>
      <c r="N48" s="60">
        <v>75.391999999999996</v>
      </c>
      <c r="O48" s="69">
        <v>75.52</v>
      </c>
      <c r="P48" s="55"/>
      <c r="Q48" s="60">
        <v>75.52</v>
      </c>
      <c r="R48" s="69">
        <v>75.966999999999999</v>
      </c>
      <c r="S48" s="55"/>
      <c r="T48" s="60">
        <v>75.966999999999999</v>
      </c>
      <c r="U48" s="69">
        <v>74.822000000000003</v>
      </c>
      <c r="V48" s="55"/>
      <c r="W48" s="60">
        <v>74.822000000000003</v>
      </c>
      <c r="X48" s="61">
        <v>74.822000000000003</v>
      </c>
      <c r="Y48" s="62">
        <v>59.184202000000006</v>
      </c>
      <c r="Z48" s="63"/>
      <c r="AA48" s="63" t="s">
        <v>104</v>
      </c>
      <c r="AB48" s="64" t="s">
        <v>106</v>
      </c>
      <c r="AC48" s="65"/>
    </row>
    <row r="49" spans="1:94" s="27" customFormat="1">
      <c r="A49" s="55" t="s">
        <v>93</v>
      </c>
      <c r="B49" s="55" t="s">
        <v>94</v>
      </c>
      <c r="C49" s="56" t="s">
        <v>7</v>
      </c>
      <c r="D49" s="57" t="s">
        <v>28</v>
      </c>
      <c r="E49" s="58">
        <v>0.82499999999999996</v>
      </c>
      <c r="F49" s="59" t="s">
        <v>101</v>
      </c>
      <c r="G49" s="55"/>
      <c r="H49" s="60" t="s">
        <v>104</v>
      </c>
      <c r="I49" s="59">
        <v>82.286000000000001</v>
      </c>
      <c r="J49" s="55"/>
      <c r="K49" s="60">
        <v>82.286000000000001</v>
      </c>
      <c r="L49" s="59">
        <v>80.736000000000004</v>
      </c>
      <c r="M49" s="55"/>
      <c r="N49" s="60">
        <v>80.736000000000004</v>
      </c>
      <c r="O49" s="59">
        <v>79.796999999999997</v>
      </c>
      <c r="P49" s="55"/>
      <c r="Q49" s="60">
        <v>79.796999999999997</v>
      </c>
      <c r="R49" s="59">
        <v>78.451999999999998</v>
      </c>
      <c r="S49" s="55"/>
      <c r="T49" s="60">
        <v>78.451999999999998</v>
      </c>
      <c r="U49" s="59">
        <v>79.762</v>
      </c>
      <c r="V49" s="55"/>
      <c r="W49" s="60">
        <v>79.762</v>
      </c>
      <c r="X49" s="61">
        <v>78.451999999999998</v>
      </c>
      <c r="Y49" s="62">
        <v>64.722899999999996</v>
      </c>
      <c r="Z49" s="63"/>
      <c r="AA49" s="63" t="s">
        <v>104</v>
      </c>
      <c r="AB49" s="64" t="s">
        <v>106</v>
      </c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</row>
  </sheetData>
  <phoneticPr fontId="5" type="noConversion"/>
  <conditionalFormatting sqref="Y4:AA49 Y1:AA1">
    <cfRule type="cellIs" dxfId="2" priority="10" stopIfTrue="1" operator="equal">
      <formula>$Y$3</formula>
    </cfRule>
  </conditionalFormatting>
  <conditionalFormatting sqref="X4:X49 X1">
    <cfRule type="cellIs" dxfId="1" priority="9" stopIfTrue="1" operator="equal">
      <formula>$X$3</formula>
    </cfRule>
  </conditionalFormatting>
  <conditionalFormatting sqref="E5:E6 E12:E14 E8:E10 E16:E17 E19:E21 E23:E24 E26:E31 E33:E34 E36:E37 E39:E45 E47:E49">
    <cfRule type="cellIs" dxfId="0" priority="8" stopIfTrue="1" operator="lessThan">
      <formula>0.1</formula>
    </cfRule>
  </conditionalFormatting>
  <pageMargins left="0.75" right="0.75" top="1" bottom="1" header="0.5" footer="0.5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8"/>
  <dimension ref="A1:BT103"/>
  <sheetViews>
    <sheetView tabSelected="1" workbookViewId="0"/>
  </sheetViews>
  <sheetFormatPr defaultColWidth="9.109375" defaultRowHeight="13.2"/>
  <cols>
    <col min="1" max="2" width="17.109375" style="1" customWidth="1"/>
    <col min="3" max="3" width="8.5546875" style="2" customWidth="1"/>
    <col min="4" max="4" width="8.6640625" style="2" customWidth="1"/>
    <col min="5" max="5" width="6.109375" style="3" customWidth="1"/>
    <col min="6" max="6" width="7.6640625" style="3" customWidth="1"/>
    <col min="7" max="7" width="7.88671875" style="3" customWidth="1"/>
    <col min="8" max="16384" width="9.109375" style="1"/>
  </cols>
  <sheetData>
    <row r="1" spans="1:72" s="4" customFormat="1" ht="30" customHeight="1" thickBot="1">
      <c r="A1" s="10"/>
      <c r="B1" s="10"/>
      <c r="C1" s="10"/>
      <c r="D1" s="10"/>
      <c r="E1" s="18"/>
      <c r="F1" s="7" t="s">
        <v>15</v>
      </c>
      <c r="G1" s="20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</row>
    <row r="2" spans="1:72" s="3" customFormat="1" ht="52.5" customHeight="1">
      <c r="A2" s="12" t="s">
        <v>13</v>
      </c>
      <c r="B2" s="10" t="s">
        <v>20</v>
      </c>
      <c r="C2" s="10" t="s">
        <v>26</v>
      </c>
      <c r="D2" s="10" t="s">
        <v>21</v>
      </c>
      <c r="E2" s="14" t="s">
        <v>30</v>
      </c>
      <c r="F2" s="8">
        <v>54.087033999999996</v>
      </c>
      <c r="G2" s="21" t="s">
        <v>23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s="27" customFormat="1">
      <c r="A3" s="72" t="s">
        <v>43</v>
      </c>
      <c r="B3" s="72" t="s">
        <v>44</v>
      </c>
      <c r="C3" s="67" t="s">
        <v>5</v>
      </c>
      <c r="D3" s="57" t="s">
        <v>5</v>
      </c>
      <c r="E3" s="78">
        <v>0.81699999999999995</v>
      </c>
      <c r="F3" s="62">
        <v>54.087033999999996</v>
      </c>
      <c r="G3" s="82">
        <v>1000</v>
      </c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</row>
    <row r="4" spans="1:72" s="27" customFormat="1">
      <c r="A4" s="55" t="s">
        <v>67</v>
      </c>
      <c r="B4" s="55" t="s">
        <v>86</v>
      </c>
      <c r="C4" s="56" t="s">
        <v>1</v>
      </c>
      <c r="D4" s="57" t="s">
        <v>1</v>
      </c>
      <c r="E4" s="58">
        <v>0.84099999999999997</v>
      </c>
      <c r="F4" s="62">
        <v>54.770125</v>
      </c>
      <c r="G4" s="63">
        <v>987.52803649799944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</row>
    <row r="5" spans="1:72" s="27" customFormat="1">
      <c r="A5" s="55" t="s">
        <v>32</v>
      </c>
      <c r="B5" s="55" t="s">
        <v>78</v>
      </c>
      <c r="C5" s="56" t="s">
        <v>4</v>
      </c>
      <c r="D5" s="57" t="s">
        <v>4</v>
      </c>
      <c r="E5" s="58">
        <v>0.83299999999999996</v>
      </c>
      <c r="F5" s="62">
        <v>55.037976</v>
      </c>
      <c r="G5" s="63">
        <v>982.72207539027227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</row>
    <row r="6" spans="1:72" s="27" customFormat="1">
      <c r="A6" s="55" t="s">
        <v>61</v>
      </c>
      <c r="B6" s="55" t="s">
        <v>79</v>
      </c>
      <c r="C6" s="56" t="s">
        <v>9</v>
      </c>
      <c r="D6" s="57" t="s">
        <v>9</v>
      </c>
      <c r="E6" s="58">
        <v>0.82699999999999996</v>
      </c>
      <c r="F6" s="62">
        <v>55.315548999999997</v>
      </c>
      <c r="G6" s="63">
        <v>977.79078356431023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</row>
    <row r="7" spans="1:72" s="27" customFormat="1">
      <c r="A7" s="70" t="s">
        <v>34</v>
      </c>
      <c r="B7" s="70" t="s">
        <v>38</v>
      </c>
      <c r="C7" s="56" t="s">
        <v>7</v>
      </c>
      <c r="D7" s="57" t="s">
        <v>7</v>
      </c>
      <c r="E7" s="58">
        <v>0.82499999999999996</v>
      </c>
      <c r="F7" s="62">
        <v>55.384724999999996</v>
      </c>
      <c r="G7" s="63">
        <v>976.56951442839159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</row>
    <row r="8" spans="1:72" s="65" customFormat="1">
      <c r="A8" s="55" t="s">
        <v>72</v>
      </c>
      <c r="B8" s="55" t="s">
        <v>71</v>
      </c>
      <c r="C8" s="56" t="s">
        <v>3</v>
      </c>
      <c r="D8" s="57" t="s">
        <v>3</v>
      </c>
      <c r="E8" s="58">
        <v>0.83899999999999997</v>
      </c>
      <c r="F8" s="62">
        <v>55.760778999999999</v>
      </c>
      <c r="G8" s="63">
        <v>969.98347171584521</v>
      </c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</row>
    <row r="9" spans="1:72" s="27" customFormat="1">
      <c r="A9" s="70" t="s">
        <v>74</v>
      </c>
      <c r="B9" s="70" t="s">
        <v>38</v>
      </c>
      <c r="C9" s="67" t="s">
        <v>7</v>
      </c>
      <c r="D9" s="57" t="s">
        <v>7</v>
      </c>
      <c r="E9" s="58">
        <v>0.82499999999999996</v>
      </c>
      <c r="F9" s="62">
        <v>55.910249999999991</v>
      </c>
      <c r="G9" s="63">
        <v>967.39030857490366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</row>
    <row r="10" spans="1:72" s="27" customFormat="1">
      <c r="A10" s="70" t="s">
        <v>41</v>
      </c>
      <c r="B10" s="70" t="s">
        <v>75</v>
      </c>
      <c r="C10" s="67" t="s">
        <v>1</v>
      </c>
      <c r="D10" s="57" t="s">
        <v>1</v>
      </c>
      <c r="E10" s="58">
        <v>0.84099999999999997</v>
      </c>
      <c r="F10" s="62">
        <v>55.971913999999998</v>
      </c>
      <c r="G10" s="63">
        <v>966.32453912510471</v>
      </c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</row>
    <row r="11" spans="1:72" s="64" customFormat="1">
      <c r="A11" s="55" t="s">
        <v>73</v>
      </c>
      <c r="B11" s="55" t="s">
        <v>38</v>
      </c>
      <c r="C11" s="56" t="s">
        <v>7</v>
      </c>
      <c r="D11" s="57" t="s">
        <v>7</v>
      </c>
      <c r="E11" s="58">
        <v>0.82499999999999996</v>
      </c>
      <c r="F11" s="62">
        <v>56.553749999999994</v>
      </c>
      <c r="G11" s="63" t="s">
        <v>104</v>
      </c>
    </row>
    <row r="12" spans="1:72" s="27" customFormat="1">
      <c r="A12" s="55" t="s">
        <v>91</v>
      </c>
      <c r="B12" s="55" t="s">
        <v>92</v>
      </c>
      <c r="C12" s="67" t="s">
        <v>4</v>
      </c>
      <c r="D12" s="57" t="s">
        <v>4</v>
      </c>
      <c r="E12" s="58">
        <v>0.83299999999999996</v>
      </c>
      <c r="F12" s="62">
        <v>56.885570000000001</v>
      </c>
      <c r="G12" s="63" t="s">
        <v>104</v>
      </c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</row>
    <row r="13" spans="1:72" s="27" customFormat="1">
      <c r="A13" s="70" t="s">
        <v>58</v>
      </c>
      <c r="B13" s="70" t="s">
        <v>63</v>
      </c>
      <c r="C13" s="67" t="s">
        <v>8</v>
      </c>
      <c r="D13" s="57" t="s">
        <v>31</v>
      </c>
      <c r="E13" s="58">
        <v>0.83499999999999996</v>
      </c>
      <c r="F13" s="62">
        <v>57.096465000000002</v>
      </c>
      <c r="G13" s="63" t="s">
        <v>104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</row>
    <row r="14" spans="1:72" s="27" customFormat="1">
      <c r="A14" s="55" t="s">
        <v>46</v>
      </c>
      <c r="B14" s="55" t="s">
        <v>87</v>
      </c>
      <c r="C14" s="56" t="s">
        <v>11</v>
      </c>
      <c r="D14" s="57" t="s">
        <v>11</v>
      </c>
      <c r="E14" s="58">
        <v>0.79100000000000004</v>
      </c>
      <c r="F14" s="62">
        <v>57.370438999999998</v>
      </c>
      <c r="G14" s="63">
        <v>942.76834799887104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</row>
    <row r="15" spans="1:72" s="45" customFormat="1" ht="13.8">
      <c r="A15" s="55" t="s">
        <v>82</v>
      </c>
      <c r="B15" s="55" t="s">
        <v>83</v>
      </c>
      <c r="C15" s="67" t="s">
        <v>11</v>
      </c>
      <c r="D15" s="57" t="s">
        <v>11</v>
      </c>
      <c r="E15" s="58">
        <v>0.79100000000000004</v>
      </c>
      <c r="F15" s="62">
        <v>57.878261000000009</v>
      </c>
      <c r="G15" s="63" t="s">
        <v>104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</row>
    <row r="16" spans="1:72" s="27" customFormat="1">
      <c r="A16" s="55" t="s">
        <v>35</v>
      </c>
      <c r="B16" s="55" t="s">
        <v>55</v>
      </c>
      <c r="C16" s="56" t="s">
        <v>9</v>
      </c>
      <c r="D16" s="57" t="s">
        <v>9</v>
      </c>
      <c r="E16" s="58">
        <v>0.82699999999999996</v>
      </c>
      <c r="F16" s="62">
        <v>58.519346999999996</v>
      </c>
      <c r="G16" s="63">
        <v>924.2590147152531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</row>
    <row r="17" spans="1:72" s="27" customFormat="1">
      <c r="A17" s="70" t="s">
        <v>95</v>
      </c>
      <c r="B17" s="55" t="s">
        <v>96</v>
      </c>
      <c r="C17" s="67" t="s">
        <v>11</v>
      </c>
      <c r="D17" s="57" t="s">
        <v>28</v>
      </c>
      <c r="E17" s="58">
        <v>0.79100000000000004</v>
      </c>
      <c r="F17" s="62">
        <v>59.184202000000006</v>
      </c>
      <c r="G17" s="63" t="s">
        <v>104</v>
      </c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</row>
    <row r="18" spans="1:72" s="27" customFormat="1">
      <c r="A18" s="55" t="s">
        <v>65</v>
      </c>
      <c r="B18" s="55" t="s">
        <v>69</v>
      </c>
      <c r="C18" s="67" t="s">
        <v>11</v>
      </c>
      <c r="D18" s="57" t="s">
        <v>11</v>
      </c>
      <c r="E18" s="58">
        <v>0.79100000000000004</v>
      </c>
      <c r="F18" s="62">
        <v>59.284658999999998</v>
      </c>
      <c r="G18" s="63">
        <v>912.32765629975199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</row>
    <row r="19" spans="1:72" s="64" customFormat="1">
      <c r="A19" s="55" t="s">
        <v>70</v>
      </c>
      <c r="B19" s="55" t="s">
        <v>71</v>
      </c>
      <c r="C19" s="56" t="s">
        <v>3</v>
      </c>
      <c r="D19" s="57" t="s">
        <v>3</v>
      </c>
      <c r="E19" s="58">
        <v>0.83899999999999997</v>
      </c>
      <c r="F19" s="62">
        <v>60.115188999999994</v>
      </c>
      <c r="G19" s="63">
        <v>899.72326295106552</v>
      </c>
    </row>
    <row r="20" spans="1:72" s="64" customFormat="1">
      <c r="A20" s="55" t="s">
        <v>89</v>
      </c>
      <c r="B20" s="55" t="s">
        <v>90</v>
      </c>
      <c r="C20" s="67" t="s">
        <v>12</v>
      </c>
      <c r="D20" s="57" t="s">
        <v>31</v>
      </c>
      <c r="E20" s="58">
        <v>0.86899999999999999</v>
      </c>
      <c r="F20" s="62">
        <v>60.384202999999992</v>
      </c>
      <c r="G20" s="63" t="s">
        <v>104</v>
      </c>
    </row>
    <row r="21" spans="1:72" s="27" customFormat="1">
      <c r="A21" s="55" t="s">
        <v>93</v>
      </c>
      <c r="B21" s="55" t="s">
        <v>94</v>
      </c>
      <c r="C21" s="56" t="s">
        <v>7</v>
      </c>
      <c r="D21" s="57" t="s">
        <v>28</v>
      </c>
      <c r="E21" s="58">
        <v>0.82499999999999996</v>
      </c>
      <c r="F21" s="62">
        <v>64.722899999999996</v>
      </c>
      <c r="G21" s="63" t="s">
        <v>104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</row>
    <row r="22" spans="1:72" s="27" customFormat="1">
      <c r="A22" s="55"/>
      <c r="B22" s="55"/>
      <c r="C22" s="56"/>
      <c r="D22" s="57"/>
      <c r="E22" s="58"/>
      <c r="F22" s="62"/>
      <c r="G22" s="63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</row>
    <row r="23" spans="1:72" s="27" customFormat="1">
      <c r="A23" s="55"/>
      <c r="B23" s="55"/>
      <c r="C23" s="67"/>
      <c r="D23" s="57"/>
      <c r="E23" s="58"/>
      <c r="F23" s="62"/>
      <c r="G23" s="63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</row>
    <row r="24" spans="1:72" s="46" customFormat="1">
      <c r="A24" s="55"/>
      <c r="B24" s="70"/>
      <c r="C24" s="56"/>
      <c r="D24" s="57"/>
      <c r="E24" s="58"/>
      <c r="F24" s="62"/>
      <c r="G24" s="63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</row>
    <row r="25" spans="1:72" s="27" customFormat="1">
      <c r="A25" s="70"/>
      <c r="B25" s="55"/>
      <c r="C25" s="56"/>
      <c r="D25" s="57"/>
      <c r="E25" s="58"/>
      <c r="F25" s="62"/>
      <c r="G25" s="63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</row>
    <row r="26" spans="1:72" s="27" customFormat="1">
      <c r="A26" s="70"/>
      <c r="B26" s="70"/>
      <c r="C26" s="56"/>
      <c r="D26" s="57"/>
      <c r="E26" s="58"/>
      <c r="F26" s="62"/>
      <c r="G26" s="63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</row>
    <row r="27" spans="1:72" s="27" customFormat="1">
      <c r="A27" s="55"/>
      <c r="B27" s="70"/>
      <c r="C27" s="56"/>
      <c r="D27" s="57"/>
      <c r="E27" s="58"/>
      <c r="F27" s="62"/>
      <c r="G27" s="63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</row>
    <row r="28" spans="1:72" s="27" customFormat="1">
      <c r="A28" s="55"/>
      <c r="B28" s="55"/>
      <c r="C28" s="56"/>
      <c r="D28" s="57"/>
      <c r="E28" s="58"/>
      <c r="F28" s="62"/>
      <c r="G28" s="63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</row>
    <row r="29" spans="1:72" s="27" customFormat="1">
      <c r="A29" s="55"/>
      <c r="B29" s="70"/>
      <c r="C29" s="67"/>
      <c r="D29" s="57"/>
      <c r="E29" s="58"/>
      <c r="F29" s="62"/>
      <c r="G29" s="63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</row>
    <row r="30" spans="1:72" s="64" customFormat="1">
      <c r="A30" s="55"/>
      <c r="B30" s="55"/>
      <c r="C30" s="56"/>
      <c r="D30" s="57"/>
      <c r="E30" s="58"/>
      <c r="F30" s="62"/>
      <c r="G30" s="63"/>
    </row>
    <row r="31" spans="1:72" s="27" customFormat="1">
      <c r="A31" s="55"/>
      <c r="B31" s="72"/>
      <c r="C31" s="67"/>
      <c r="D31" s="57"/>
      <c r="E31" s="58"/>
      <c r="F31" s="62"/>
      <c r="G31" s="63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</row>
    <row r="32" spans="1:72" s="27" customFormat="1">
      <c r="A32" s="70"/>
      <c r="B32" s="70"/>
      <c r="C32" s="67"/>
      <c r="D32" s="57"/>
      <c r="E32" s="58"/>
      <c r="F32" s="62"/>
      <c r="G32" s="63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</row>
    <row r="33" spans="1:72" s="64" customFormat="1">
      <c r="A33" s="55"/>
      <c r="B33" s="55"/>
      <c r="C33" s="67"/>
      <c r="D33" s="57"/>
      <c r="E33" s="58"/>
      <c r="F33" s="62"/>
      <c r="G33" s="63"/>
    </row>
    <row r="34" spans="1:72" s="64" customFormat="1">
      <c r="A34" s="55"/>
      <c r="B34" s="70"/>
      <c r="C34" s="67"/>
      <c r="D34" s="57"/>
      <c r="E34" s="58"/>
      <c r="F34" s="62"/>
      <c r="G34" s="63"/>
    </row>
    <row r="35" spans="1:72" s="27" customFormat="1">
      <c r="A35" s="55"/>
      <c r="B35" s="55"/>
      <c r="C35" s="56"/>
      <c r="D35" s="57"/>
      <c r="E35" s="58"/>
      <c r="F35" s="62"/>
      <c r="G35" s="63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</row>
    <row r="36" spans="1:72" s="64" customFormat="1">
      <c r="A36" s="70"/>
      <c r="B36" s="70"/>
      <c r="C36" s="67"/>
      <c r="D36" s="57"/>
      <c r="E36" s="58"/>
      <c r="F36" s="62"/>
      <c r="G36" s="63"/>
    </row>
    <row r="37" spans="1:72" s="27" customFormat="1">
      <c r="A37" s="55"/>
      <c r="B37" s="55"/>
      <c r="C37" s="56"/>
      <c r="D37" s="57"/>
      <c r="E37" s="58"/>
      <c r="F37" s="62"/>
      <c r="G37" s="63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</row>
    <row r="38" spans="1:72" s="27" customFormat="1">
      <c r="A38" s="23"/>
      <c r="B38" s="23"/>
      <c r="C38" s="26"/>
      <c r="D38" s="25"/>
      <c r="E38" s="31"/>
      <c r="F38" s="32"/>
      <c r="G38" s="33"/>
    </row>
    <row r="39" spans="1:72" s="27" customFormat="1">
      <c r="A39" s="23"/>
      <c r="B39" s="23"/>
      <c r="C39" s="22"/>
      <c r="D39" s="25"/>
      <c r="E39" s="31"/>
      <c r="F39" s="32"/>
      <c r="G39" s="33"/>
    </row>
    <row r="40" spans="1:72" s="64" customFormat="1">
      <c r="A40" s="24"/>
      <c r="B40" s="24"/>
      <c r="C40" s="22"/>
      <c r="D40" s="25"/>
      <c r="E40" s="31"/>
      <c r="F40" s="32"/>
      <c r="G40" s="33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</row>
    <row r="41" spans="1:72" s="27" customFormat="1">
      <c r="A41" s="23"/>
      <c r="B41" s="23"/>
      <c r="C41" s="26"/>
      <c r="D41" s="25"/>
      <c r="E41" s="31"/>
      <c r="F41" s="32"/>
      <c r="G41" s="33"/>
    </row>
    <row r="42" spans="1:72" s="27" customFormat="1">
      <c r="A42" s="24"/>
      <c r="B42" s="24"/>
      <c r="C42" s="22"/>
      <c r="D42" s="25"/>
      <c r="E42" s="31"/>
      <c r="F42" s="32"/>
      <c r="G42" s="33"/>
    </row>
    <row r="43" spans="1:72" s="27" customFormat="1">
      <c r="A43" s="24"/>
      <c r="B43" s="24"/>
      <c r="C43" s="22"/>
      <c r="D43" s="25"/>
      <c r="E43" s="31"/>
      <c r="F43" s="32"/>
      <c r="G43" s="33"/>
    </row>
    <row r="44" spans="1:72" s="27" customFormat="1">
      <c r="A44" s="23"/>
      <c r="B44" s="23"/>
      <c r="C44" s="26"/>
      <c r="D44" s="25"/>
      <c r="E44" s="31"/>
      <c r="F44" s="32"/>
      <c r="G44" s="33"/>
    </row>
    <row r="45" spans="1:72" s="27" customFormat="1">
      <c r="A45" s="24"/>
      <c r="B45" s="24"/>
      <c r="C45" s="22"/>
      <c r="D45" s="25"/>
      <c r="E45" s="31"/>
      <c r="F45" s="32"/>
      <c r="G45" s="33"/>
    </row>
    <row r="46" spans="1:72" s="64" customFormat="1">
      <c r="A46" s="23"/>
      <c r="B46" s="23"/>
      <c r="C46" s="22"/>
      <c r="D46" s="25"/>
      <c r="E46" s="31"/>
      <c r="F46" s="32"/>
      <c r="G46" s="33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</row>
    <row r="47" spans="1:72" s="27" customFormat="1">
      <c r="A47" s="24"/>
      <c r="B47" s="24"/>
      <c r="C47" s="22"/>
      <c r="D47" s="25"/>
      <c r="E47" s="31"/>
      <c r="F47" s="32"/>
      <c r="G47" s="33"/>
    </row>
    <row r="48" spans="1:72" s="27" customFormat="1">
      <c r="A48" s="24"/>
      <c r="B48" s="24"/>
      <c r="C48" s="22"/>
      <c r="D48" s="25"/>
      <c r="E48" s="31"/>
      <c r="F48" s="32"/>
      <c r="G48" s="33"/>
    </row>
    <row r="49" spans="1:72" s="76" customFormat="1">
      <c r="A49" s="24"/>
      <c r="B49" s="23"/>
      <c r="C49" s="22"/>
      <c r="D49" s="25"/>
      <c r="E49" s="31"/>
      <c r="F49" s="32"/>
      <c r="G49" s="33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</row>
    <row r="50" spans="1:72" s="27" customFormat="1">
      <c r="A50" s="35"/>
      <c r="B50" s="35"/>
      <c r="C50" s="22"/>
      <c r="D50" s="25"/>
      <c r="E50" s="31"/>
      <c r="F50" s="32"/>
      <c r="G50" s="48"/>
    </row>
    <row r="51" spans="1:72" s="27" customFormat="1">
      <c r="A51" s="24"/>
      <c r="B51" s="24"/>
      <c r="C51" s="22"/>
      <c r="D51" s="25"/>
      <c r="E51" s="31"/>
      <c r="F51" s="32"/>
      <c r="G51" s="33"/>
    </row>
    <row r="52" spans="1:72" s="64" customFormat="1">
      <c r="A52" s="24"/>
      <c r="B52" s="24"/>
      <c r="C52" s="22"/>
      <c r="D52" s="25"/>
      <c r="E52" s="31"/>
      <c r="F52" s="32"/>
      <c r="G52" s="33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</row>
    <row r="53" spans="1:72" s="37" customFormat="1">
      <c r="A53" s="24"/>
      <c r="B53" s="24"/>
      <c r="C53" s="22"/>
      <c r="D53" s="25"/>
      <c r="E53" s="31"/>
      <c r="F53" s="32"/>
      <c r="G53" s="33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</row>
    <row r="54" spans="1:72" s="37" customFormat="1">
      <c r="A54" s="23"/>
      <c r="B54" s="23"/>
      <c r="C54" s="22"/>
      <c r="D54" s="25"/>
      <c r="E54" s="31"/>
      <c r="F54" s="32"/>
      <c r="G54" s="33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</row>
    <row r="55" spans="1:72" s="27" customFormat="1">
      <c r="A55" s="24"/>
      <c r="B55" s="24"/>
      <c r="C55" s="22"/>
      <c r="D55" s="25"/>
      <c r="E55" s="31"/>
      <c r="F55" s="32"/>
      <c r="G55" s="33"/>
    </row>
    <row r="56" spans="1:72" s="27" customFormat="1">
      <c r="A56" s="24"/>
      <c r="B56" s="24"/>
      <c r="C56" s="22"/>
      <c r="D56" s="25"/>
      <c r="E56" s="31"/>
      <c r="F56" s="32"/>
      <c r="G56" s="33"/>
    </row>
    <row r="57" spans="1:72" s="27" customFormat="1">
      <c r="A57" s="23"/>
      <c r="B57" s="23"/>
      <c r="C57" s="22"/>
      <c r="D57" s="25"/>
      <c r="E57" s="31"/>
      <c r="F57" s="32"/>
      <c r="G57" s="33"/>
    </row>
    <row r="58" spans="1:72" s="27" customFormat="1">
      <c r="A58" s="23"/>
      <c r="B58" s="23"/>
      <c r="C58" s="26"/>
      <c r="D58" s="25"/>
      <c r="E58" s="31"/>
      <c r="F58" s="32"/>
      <c r="G58" s="33"/>
    </row>
    <row r="59" spans="1:72" s="27" customFormat="1">
      <c r="A59" s="23"/>
      <c r="B59" s="23"/>
      <c r="C59" s="26"/>
      <c r="D59" s="25"/>
      <c r="E59" s="38"/>
      <c r="F59" s="32"/>
      <c r="G59" s="40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</row>
    <row r="60" spans="1:72" s="64" customFormat="1">
      <c r="A60" s="24"/>
      <c r="B60" s="23"/>
      <c r="C60" s="26"/>
      <c r="D60" s="25"/>
      <c r="E60" s="31"/>
      <c r="F60" s="32"/>
      <c r="G60" s="33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</row>
    <row r="61" spans="1:72" s="64" customFormat="1">
      <c r="A61" s="23"/>
      <c r="B61" s="23"/>
      <c r="C61" s="26"/>
      <c r="D61" s="25"/>
      <c r="E61" s="31"/>
      <c r="F61" s="32"/>
      <c r="G61" s="33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</row>
    <row r="62" spans="1:72" s="27" customFormat="1">
      <c r="A62" s="23"/>
      <c r="B62" s="23"/>
      <c r="C62" s="22"/>
      <c r="D62" s="25"/>
      <c r="E62" s="31"/>
      <c r="F62" s="32"/>
      <c r="G62" s="33"/>
    </row>
    <row r="63" spans="1:72" s="64" customFormat="1">
      <c r="A63" s="24"/>
      <c r="B63" s="24"/>
      <c r="C63" s="22"/>
      <c r="D63" s="25"/>
      <c r="E63" s="31"/>
      <c r="F63" s="32"/>
      <c r="G63" s="33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</row>
    <row r="64" spans="1:72" s="75" customFormat="1">
      <c r="A64" s="23"/>
      <c r="B64" s="23"/>
      <c r="C64" s="22"/>
      <c r="D64" s="25"/>
      <c r="E64" s="31"/>
      <c r="F64" s="32"/>
      <c r="G64" s="33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</row>
    <row r="65" spans="1:72" s="27" customFormat="1">
      <c r="A65" s="24"/>
      <c r="C65" s="22"/>
      <c r="D65" s="25"/>
      <c r="E65" s="31"/>
      <c r="F65" s="32"/>
      <c r="G65" s="33"/>
    </row>
    <row r="66" spans="1:72" s="27" customFormat="1">
      <c r="A66" s="23"/>
      <c r="B66" s="23"/>
      <c r="C66" s="22"/>
      <c r="D66" s="25"/>
      <c r="E66" s="31"/>
      <c r="F66" s="32"/>
      <c r="G66" s="33"/>
    </row>
    <row r="67" spans="1:72" s="64" customFormat="1">
      <c r="A67" s="23"/>
      <c r="B67" s="23"/>
      <c r="C67" s="22"/>
      <c r="D67" s="25"/>
      <c r="E67" s="31"/>
      <c r="F67" s="32"/>
      <c r="G67" s="33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</row>
    <row r="68" spans="1:72" s="27" customFormat="1">
      <c r="A68" s="24"/>
      <c r="B68" s="24"/>
      <c r="C68" s="22"/>
      <c r="D68" s="25"/>
      <c r="E68" s="31"/>
      <c r="F68" s="32"/>
      <c r="G68" s="33"/>
    </row>
    <row r="69" spans="1:72" s="27" customFormat="1">
      <c r="A69" s="24"/>
      <c r="B69" s="24"/>
      <c r="C69" s="22"/>
      <c r="D69" s="25"/>
      <c r="E69" s="31"/>
      <c r="F69" s="32"/>
      <c r="G69" s="33"/>
    </row>
    <row r="70" spans="1:72" s="27" customFormat="1">
      <c r="A70" s="24"/>
      <c r="B70" s="24"/>
      <c r="C70" s="22"/>
      <c r="D70" s="25"/>
      <c r="E70" s="31"/>
      <c r="F70" s="32"/>
      <c r="G70" s="33"/>
    </row>
    <row r="71" spans="1:72" s="27" customFormat="1">
      <c r="A71" s="24"/>
      <c r="B71" s="24"/>
      <c r="C71" s="22"/>
      <c r="D71" s="25"/>
      <c r="E71" s="31"/>
      <c r="F71" s="32"/>
      <c r="G71" s="33"/>
    </row>
    <row r="72" spans="1:72" s="64" customFormat="1">
      <c r="A72" s="24"/>
      <c r="B72" s="24"/>
      <c r="C72" s="22"/>
      <c r="D72" s="25"/>
      <c r="E72" s="31"/>
      <c r="F72" s="32"/>
      <c r="G72" s="33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</row>
    <row r="73" spans="1:72" s="27" customFormat="1">
      <c r="A73" s="23"/>
      <c r="B73" s="23"/>
      <c r="C73" s="22"/>
      <c r="D73" s="25"/>
      <c r="E73" s="31"/>
      <c r="F73" s="32"/>
      <c r="G73" s="33"/>
    </row>
    <row r="74" spans="1:72" s="27" customFormat="1">
      <c r="A74" s="49"/>
      <c r="B74" s="49"/>
      <c r="C74" s="50"/>
      <c r="D74" s="25"/>
      <c r="E74" s="51"/>
      <c r="F74" s="52"/>
      <c r="G74" s="5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</row>
    <row r="75" spans="1:72" s="27" customFormat="1">
      <c r="A75" s="24"/>
      <c r="B75" s="24"/>
      <c r="C75" s="22"/>
      <c r="D75" s="25"/>
      <c r="E75" s="31"/>
      <c r="F75" s="32"/>
      <c r="G75" s="33"/>
    </row>
    <row r="76" spans="1:72" s="64" customFormat="1">
      <c r="A76" s="23"/>
      <c r="B76" s="23"/>
      <c r="C76" s="22"/>
      <c r="D76" s="25"/>
      <c r="E76" s="31"/>
      <c r="F76" s="32"/>
      <c r="G76" s="33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</row>
    <row r="77" spans="1:72" s="64" customFormat="1">
      <c r="A77" s="24"/>
      <c r="B77" s="24"/>
      <c r="C77" s="22"/>
      <c r="D77" s="25"/>
      <c r="E77" s="31"/>
      <c r="F77" s="32"/>
      <c r="G77" s="33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</row>
    <row r="78" spans="1:72" s="27" customFormat="1">
      <c r="A78" s="24"/>
      <c r="B78" s="24"/>
      <c r="C78" s="22"/>
      <c r="D78" s="25"/>
      <c r="E78" s="31"/>
      <c r="F78" s="32"/>
      <c r="G78" s="33"/>
    </row>
    <row r="79" spans="1:72" s="27" customFormat="1">
      <c r="A79" s="24"/>
      <c r="B79" s="24"/>
      <c r="C79" s="22"/>
      <c r="D79" s="25"/>
      <c r="E79" s="31"/>
      <c r="F79" s="32"/>
      <c r="G79" s="33"/>
    </row>
    <row r="80" spans="1:72" s="64" customFormat="1">
      <c r="A80" s="24"/>
      <c r="B80" s="24"/>
      <c r="C80" s="22"/>
      <c r="D80" s="25"/>
      <c r="E80" s="31"/>
      <c r="F80" s="32"/>
      <c r="G80" s="33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</row>
    <row r="81" spans="1:72" s="64" customFormat="1">
      <c r="A81" s="24"/>
      <c r="B81" s="24"/>
      <c r="C81" s="22"/>
      <c r="D81" s="25"/>
      <c r="E81" s="31"/>
      <c r="F81" s="32"/>
      <c r="G81" s="33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</row>
    <row r="82" spans="1:72" s="27" customFormat="1">
      <c r="A82" s="23"/>
      <c r="B82" s="23"/>
      <c r="C82" s="26"/>
      <c r="D82" s="25"/>
      <c r="E82" s="38"/>
      <c r="F82" s="32"/>
      <c r="G82" s="40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</row>
    <row r="83" spans="1:72" s="27" customFormat="1">
      <c r="A83" s="24"/>
      <c r="B83" s="24"/>
      <c r="C83" s="22"/>
      <c r="D83" s="25"/>
      <c r="E83" s="31"/>
      <c r="F83" s="32"/>
      <c r="G83" s="33"/>
    </row>
    <row r="84" spans="1:72" s="27" customFormat="1">
      <c r="A84" s="24"/>
      <c r="B84" s="24"/>
      <c r="C84" s="22"/>
      <c r="D84" s="25"/>
      <c r="E84" s="31"/>
      <c r="F84" s="32"/>
      <c r="G84" s="33"/>
    </row>
    <row r="85" spans="1:72" s="64" customFormat="1">
      <c r="A85" s="55"/>
      <c r="B85" s="55"/>
      <c r="C85" s="56"/>
      <c r="D85" s="57"/>
      <c r="E85" s="58"/>
      <c r="F85" s="62"/>
      <c r="G85" s="63"/>
    </row>
    <row r="86" spans="1:72" s="64" customFormat="1">
      <c r="A86" s="24"/>
      <c r="B86" s="23"/>
      <c r="C86" s="26"/>
      <c r="D86" s="25"/>
      <c r="E86" s="31"/>
      <c r="F86" s="32"/>
      <c r="G86" s="33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</row>
    <row r="87" spans="1:72" s="27" customFormat="1">
      <c r="A87" s="24"/>
      <c r="B87" s="24"/>
      <c r="C87" s="26"/>
      <c r="D87" s="25"/>
      <c r="E87" s="31"/>
      <c r="F87" s="32"/>
      <c r="G87" s="33"/>
    </row>
    <row r="88" spans="1:72" s="27" customFormat="1">
      <c r="A88" s="23"/>
      <c r="B88" s="23"/>
      <c r="C88" s="26"/>
      <c r="D88" s="25"/>
      <c r="E88" s="31"/>
      <c r="F88" s="32"/>
      <c r="G88" s="33"/>
    </row>
    <row r="89" spans="1:72" s="27" customFormat="1">
      <c r="A89" s="23"/>
      <c r="B89" s="23"/>
      <c r="C89" s="26"/>
      <c r="D89" s="25"/>
      <c r="E89" s="31"/>
      <c r="F89" s="32"/>
      <c r="G89" s="33"/>
    </row>
    <row r="90" spans="1:72" s="27" customFormat="1">
      <c r="A90" s="23"/>
      <c r="B90" s="23"/>
      <c r="C90" s="26"/>
      <c r="D90" s="25"/>
      <c r="E90" s="31"/>
      <c r="F90" s="32"/>
      <c r="G90" s="33"/>
    </row>
    <row r="91" spans="1:72" s="27" customFormat="1">
      <c r="A91" s="23"/>
      <c r="B91" s="23"/>
      <c r="C91" s="26"/>
      <c r="D91" s="25"/>
      <c r="E91" s="31"/>
      <c r="F91" s="32"/>
      <c r="G91" s="33"/>
    </row>
    <row r="92" spans="1:72" s="27" customFormat="1">
      <c r="A92" s="23"/>
      <c r="B92" s="23"/>
      <c r="C92" s="26"/>
      <c r="D92" s="25"/>
      <c r="E92" s="31"/>
      <c r="F92" s="32"/>
      <c r="G92" s="33"/>
    </row>
    <row r="93" spans="1:72" s="27" customFormat="1">
      <c r="A93" s="23"/>
      <c r="B93" s="23"/>
      <c r="C93" s="22"/>
      <c r="D93" s="25"/>
      <c r="E93" s="31"/>
      <c r="F93" s="32"/>
      <c r="G93" s="33"/>
    </row>
    <row r="94" spans="1:72" s="64" customFormat="1">
      <c r="A94" s="24"/>
      <c r="B94" s="24"/>
      <c r="C94" s="22"/>
      <c r="D94" s="25"/>
      <c r="E94" s="31"/>
      <c r="F94" s="32"/>
      <c r="G94" s="33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</row>
    <row r="95" spans="1:72" s="27" customFormat="1">
      <c r="A95" s="24"/>
      <c r="B95" s="24"/>
      <c r="C95" s="22"/>
      <c r="D95" s="25"/>
      <c r="E95" s="31"/>
      <c r="F95" s="32"/>
      <c r="G95" s="33"/>
    </row>
    <row r="96" spans="1:72" s="64" customFormat="1">
      <c r="A96" s="24"/>
      <c r="B96" s="23"/>
      <c r="C96" s="26"/>
      <c r="D96" s="25"/>
      <c r="E96" s="31"/>
      <c r="F96" s="32"/>
      <c r="G96" s="33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</row>
    <row r="97" spans="1:72" s="27" customFormat="1">
      <c r="A97" s="24"/>
      <c r="B97" s="23"/>
      <c r="C97" s="22"/>
      <c r="D97" s="25"/>
      <c r="E97" s="31"/>
      <c r="F97" s="32"/>
      <c r="G97" s="33"/>
    </row>
    <row r="98" spans="1:72" s="64" customFormat="1">
      <c r="A98" s="24"/>
      <c r="B98" s="24"/>
      <c r="C98" s="22"/>
      <c r="D98" s="25"/>
      <c r="E98" s="31"/>
      <c r="F98" s="32"/>
      <c r="G98" s="33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</row>
    <row r="99" spans="1:72" s="27" customFormat="1">
      <c r="A99" s="23"/>
      <c r="B99" s="23"/>
      <c r="C99" s="22"/>
      <c r="D99" s="25"/>
      <c r="E99" s="31"/>
      <c r="F99" s="32"/>
      <c r="G99" s="33"/>
    </row>
    <row r="100" spans="1:72" s="64" customFormat="1">
      <c r="A100" s="73"/>
      <c r="B100" s="37"/>
      <c r="C100" s="83"/>
      <c r="D100" s="25"/>
      <c r="E100" s="42"/>
      <c r="F100" s="32"/>
      <c r="G100" s="44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</row>
    <row r="101" spans="1:72" s="28" customFormat="1">
      <c r="C101" s="29"/>
      <c r="D101" s="29"/>
      <c r="E101" s="30"/>
      <c r="F101" s="30"/>
      <c r="G101" s="30"/>
    </row>
    <row r="102" spans="1:72" s="28" customFormat="1">
      <c r="C102" s="29"/>
      <c r="D102" s="29"/>
      <c r="E102" s="30"/>
      <c r="F102" s="30"/>
      <c r="G102" s="30"/>
    </row>
    <row r="103" spans="1:72" s="28" customFormat="1">
      <c r="C103" s="29"/>
      <c r="D103" s="29"/>
      <c r="E103" s="30"/>
      <c r="F103" s="30"/>
      <c r="G103" s="30"/>
    </row>
  </sheetData>
  <phoneticPr fontId="5" type="noConversion"/>
  <conditionalFormatting sqref="G3:G100">
    <cfRule type="cellIs" dxfId="45" priority="3" stopIfTrue="1" operator="equal">
      <formula>#REF!</formula>
    </cfRule>
  </conditionalFormatting>
  <conditionalFormatting sqref="E3:E100">
    <cfRule type="cellIs" dxfId="44" priority="1" stopIfTrue="1" operator="lessThan">
      <formula>0.1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9"/>
  <dimension ref="A1:BV103"/>
  <sheetViews>
    <sheetView workbookViewId="0"/>
  </sheetViews>
  <sheetFormatPr defaultColWidth="9.109375" defaultRowHeight="13.2"/>
  <cols>
    <col min="1" max="2" width="17.109375" style="1" customWidth="1"/>
    <col min="3" max="3" width="8.5546875" style="2" customWidth="1"/>
    <col min="4" max="4" width="8.6640625" style="2" customWidth="1"/>
    <col min="5" max="5" width="6.109375" style="3" customWidth="1"/>
    <col min="6" max="7" width="7.6640625" style="3" customWidth="1"/>
    <col min="8" max="8" width="7.5546875" style="1" hidden="1" customWidth="1"/>
    <col min="9" max="16384" width="9.109375" style="1"/>
  </cols>
  <sheetData>
    <row r="1" spans="1:74" s="4" customFormat="1" ht="30" customHeight="1" thickBot="1">
      <c r="A1" s="10"/>
      <c r="B1" s="10"/>
      <c r="C1" s="10"/>
      <c r="D1" s="10"/>
      <c r="E1" s="18"/>
      <c r="F1" s="5" t="s">
        <v>14</v>
      </c>
      <c r="G1" s="5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</row>
    <row r="2" spans="1:74" s="3" customFormat="1" ht="52.5" customHeight="1">
      <c r="A2" s="12" t="s">
        <v>13</v>
      </c>
      <c r="B2" s="10" t="s">
        <v>20</v>
      </c>
      <c r="C2" s="10" t="s">
        <v>26</v>
      </c>
      <c r="D2" s="10" t="s">
        <v>21</v>
      </c>
      <c r="E2" s="14" t="s">
        <v>30</v>
      </c>
      <c r="F2" s="8">
        <v>53.621876</v>
      </c>
      <c r="G2" s="21" t="s">
        <v>24</v>
      </c>
      <c r="H2" s="1" t="s">
        <v>37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1:74" s="27" customFormat="1">
      <c r="A3" s="66" t="s">
        <v>27</v>
      </c>
      <c r="B3" s="72" t="s">
        <v>49</v>
      </c>
      <c r="C3" s="67" t="s">
        <v>4</v>
      </c>
      <c r="D3" s="57" t="s">
        <v>4</v>
      </c>
      <c r="E3" s="58">
        <v>0.83299999999999996</v>
      </c>
      <c r="F3" s="62">
        <v>53.621876</v>
      </c>
      <c r="G3" s="63">
        <v>1000</v>
      </c>
      <c r="H3" s="64" t="s">
        <v>4</v>
      </c>
      <c r="I3" s="71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</row>
    <row r="4" spans="1:74" s="27" customFormat="1">
      <c r="A4" s="55" t="s">
        <v>70</v>
      </c>
      <c r="B4" s="55" t="s">
        <v>71</v>
      </c>
      <c r="C4" s="56" t="s">
        <v>3</v>
      </c>
      <c r="D4" s="57" t="s">
        <v>3</v>
      </c>
      <c r="E4" s="58">
        <v>0.83899999999999997</v>
      </c>
      <c r="F4" s="62">
        <v>60.115188999999994</v>
      </c>
      <c r="G4" s="63">
        <v>891.98548473331766</v>
      </c>
      <c r="H4" s="64" t="s">
        <v>3</v>
      </c>
      <c r="I4" s="71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</row>
    <row r="5" spans="1:74" s="27" customFormat="1">
      <c r="A5" s="55"/>
      <c r="B5" s="55"/>
      <c r="C5" s="56"/>
      <c r="D5" s="57"/>
      <c r="E5" s="58"/>
      <c r="F5" s="62"/>
      <c r="G5" s="63"/>
      <c r="H5" s="64"/>
      <c r="I5" s="65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</row>
    <row r="6" spans="1:74" s="27" customFormat="1">
      <c r="A6" s="55"/>
      <c r="B6" s="55"/>
      <c r="C6" s="67"/>
      <c r="D6" s="57"/>
      <c r="E6" s="58"/>
      <c r="F6" s="62"/>
      <c r="G6" s="63"/>
      <c r="H6" s="64"/>
      <c r="I6" s="65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</row>
    <row r="7" spans="1:74" s="27" customFormat="1">
      <c r="A7" s="55"/>
      <c r="B7" s="70"/>
      <c r="C7" s="56"/>
      <c r="D7" s="57"/>
      <c r="E7" s="58"/>
      <c r="F7" s="62"/>
      <c r="G7" s="63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</row>
    <row r="8" spans="1:74" s="65" customFormat="1">
      <c r="A8" s="70"/>
      <c r="B8" s="55"/>
      <c r="C8" s="56"/>
      <c r="D8" s="57"/>
      <c r="E8" s="58"/>
      <c r="F8" s="62"/>
      <c r="G8" s="63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</row>
    <row r="9" spans="1:74" s="27" customFormat="1">
      <c r="A9" s="70"/>
      <c r="B9" s="70"/>
      <c r="C9" s="56"/>
      <c r="D9" s="57"/>
      <c r="E9" s="58"/>
      <c r="F9" s="62"/>
      <c r="G9" s="63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</row>
    <row r="10" spans="1:74" s="27" customFormat="1">
      <c r="A10" s="55"/>
      <c r="B10" s="70"/>
      <c r="C10" s="56"/>
      <c r="D10" s="57"/>
      <c r="E10" s="58"/>
      <c r="F10" s="62"/>
      <c r="G10" s="63"/>
      <c r="H10" s="64"/>
      <c r="I10" s="65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</row>
    <row r="11" spans="1:74" s="64" customFormat="1">
      <c r="A11" s="70"/>
      <c r="B11" s="55"/>
      <c r="C11" s="67"/>
      <c r="D11" s="57"/>
      <c r="E11" s="58"/>
      <c r="F11" s="62"/>
      <c r="G11" s="63"/>
      <c r="I11" s="65"/>
    </row>
    <row r="12" spans="1:74" s="27" customFormat="1">
      <c r="A12" s="55"/>
      <c r="B12" s="55"/>
      <c r="C12" s="56"/>
      <c r="D12" s="57"/>
      <c r="E12" s="58"/>
      <c r="F12" s="62"/>
      <c r="G12" s="63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</row>
    <row r="13" spans="1:74" s="27" customFormat="1">
      <c r="A13" s="55"/>
      <c r="B13" s="55"/>
      <c r="C13" s="56"/>
      <c r="D13" s="57"/>
      <c r="E13" s="58"/>
      <c r="F13" s="62"/>
      <c r="G13" s="63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</row>
    <row r="14" spans="1:74" s="27" customFormat="1">
      <c r="A14" s="55"/>
      <c r="B14" s="55"/>
      <c r="C14" s="67"/>
      <c r="D14" s="57"/>
      <c r="E14" s="58"/>
      <c r="F14" s="62"/>
      <c r="G14" s="63"/>
      <c r="H14" s="64"/>
      <c r="I14" s="71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</row>
    <row r="15" spans="1:74" s="45" customFormat="1" ht="13.8">
      <c r="A15" s="55"/>
      <c r="B15" s="55"/>
      <c r="C15" s="67"/>
      <c r="D15" s="57"/>
      <c r="E15" s="58"/>
      <c r="F15" s="62"/>
      <c r="G15" s="63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</row>
    <row r="16" spans="1:74" s="27" customFormat="1">
      <c r="A16" s="55"/>
      <c r="B16" s="55"/>
      <c r="C16" s="56"/>
      <c r="D16" s="57"/>
      <c r="E16" s="58"/>
      <c r="F16" s="62"/>
      <c r="G16" s="63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</row>
    <row r="17" spans="1:74" s="27" customFormat="1">
      <c r="A17" s="55"/>
      <c r="B17" s="55"/>
      <c r="C17" s="56"/>
      <c r="D17" s="57"/>
      <c r="E17" s="58"/>
      <c r="F17" s="62"/>
      <c r="G17" s="63"/>
      <c r="H17" s="64"/>
      <c r="I17" s="65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</row>
    <row r="18" spans="1:74" s="27" customFormat="1">
      <c r="A18" s="70"/>
      <c r="B18" s="70"/>
      <c r="C18" s="56"/>
      <c r="D18" s="57"/>
      <c r="E18" s="58"/>
      <c r="F18" s="62"/>
      <c r="G18" s="63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</row>
    <row r="19" spans="1:74" s="64" customFormat="1">
      <c r="A19" s="55"/>
      <c r="B19" s="55"/>
      <c r="C19" s="56"/>
      <c r="D19" s="57"/>
      <c r="E19" s="58"/>
      <c r="F19" s="62"/>
      <c r="G19" s="63"/>
    </row>
    <row r="20" spans="1:74" s="64" customFormat="1">
      <c r="A20" s="70"/>
      <c r="B20" s="70"/>
      <c r="C20" s="67"/>
      <c r="D20" s="57"/>
      <c r="E20" s="58"/>
      <c r="F20" s="62"/>
      <c r="G20" s="63"/>
      <c r="I20" s="65"/>
    </row>
    <row r="21" spans="1:74" s="27" customFormat="1">
      <c r="A21" s="70"/>
      <c r="B21" s="70"/>
      <c r="C21" s="67"/>
      <c r="D21" s="57"/>
      <c r="E21" s="78"/>
      <c r="F21" s="81"/>
      <c r="G21" s="82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</row>
    <row r="22" spans="1:74" s="27" customFormat="1">
      <c r="A22" s="55"/>
      <c r="B22" s="55"/>
      <c r="C22" s="56"/>
      <c r="D22" s="57"/>
      <c r="E22" s="58"/>
      <c r="F22" s="62"/>
      <c r="G22" s="63"/>
      <c r="H22" s="64"/>
      <c r="I22" s="65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</row>
    <row r="23" spans="1:74" s="27" customFormat="1">
      <c r="A23" s="55"/>
      <c r="B23" s="70"/>
      <c r="C23" s="67"/>
      <c r="D23" s="57"/>
      <c r="E23" s="58"/>
      <c r="F23" s="62"/>
      <c r="G23" s="63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</row>
    <row r="24" spans="1:74" s="46" customFormat="1">
      <c r="A24" s="55"/>
      <c r="B24" s="55"/>
      <c r="C24" s="56"/>
      <c r="D24" s="57"/>
      <c r="E24" s="58"/>
      <c r="F24" s="62"/>
      <c r="G24" s="63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</row>
    <row r="25" spans="1:74" s="27" customFormat="1">
      <c r="A25" s="55"/>
      <c r="B25" s="55"/>
      <c r="C25" s="56"/>
      <c r="D25" s="57"/>
      <c r="E25" s="58"/>
      <c r="F25" s="62"/>
      <c r="G25" s="63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</row>
    <row r="26" spans="1:74" s="27" customFormat="1">
      <c r="A26" s="70"/>
      <c r="B26" s="70"/>
      <c r="C26" s="67"/>
      <c r="D26" s="57"/>
      <c r="E26" s="58"/>
      <c r="F26" s="62"/>
      <c r="G26" s="63"/>
      <c r="H26" s="64"/>
      <c r="I26" s="65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</row>
    <row r="27" spans="1:74" s="27" customFormat="1">
      <c r="A27" s="55"/>
      <c r="B27" s="55"/>
      <c r="C27" s="67"/>
      <c r="D27" s="57"/>
      <c r="E27" s="58"/>
      <c r="F27" s="62"/>
      <c r="G27" s="63"/>
      <c r="H27" s="64"/>
      <c r="I27" s="71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</row>
    <row r="28" spans="1:74" s="27" customFormat="1">
      <c r="A28" s="55"/>
      <c r="B28" s="55"/>
      <c r="C28" s="56"/>
      <c r="D28" s="57"/>
      <c r="E28" s="58"/>
      <c r="F28" s="62"/>
      <c r="G28" s="63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</row>
    <row r="29" spans="1:74" s="27" customFormat="1">
      <c r="A29" s="55"/>
      <c r="B29" s="55"/>
      <c r="C29" s="67"/>
      <c r="D29" s="57"/>
      <c r="E29" s="58"/>
      <c r="F29" s="62"/>
      <c r="G29" s="63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</row>
    <row r="30" spans="1:74" s="64" customFormat="1">
      <c r="A30" s="55"/>
      <c r="B30" s="70"/>
      <c r="C30" s="67"/>
      <c r="D30" s="57"/>
      <c r="E30" s="58"/>
      <c r="F30" s="62"/>
      <c r="G30" s="63"/>
      <c r="I30" s="65"/>
    </row>
    <row r="31" spans="1:74" s="27" customFormat="1">
      <c r="A31" s="55"/>
      <c r="B31" s="66"/>
      <c r="C31" s="67"/>
      <c r="D31" s="57"/>
      <c r="E31" s="58"/>
      <c r="F31" s="62"/>
      <c r="G31" s="63"/>
      <c r="H31" s="64"/>
      <c r="I31" s="71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</row>
    <row r="32" spans="1:74" s="27" customFormat="1">
      <c r="A32" s="70"/>
      <c r="B32" s="70"/>
      <c r="C32" s="67"/>
      <c r="D32" s="57"/>
      <c r="E32" s="58"/>
      <c r="F32" s="62"/>
      <c r="G32" s="63"/>
      <c r="H32" s="64"/>
      <c r="I32" s="65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</row>
    <row r="33" spans="1:74" s="64" customFormat="1">
      <c r="A33" s="55"/>
      <c r="B33" s="55"/>
      <c r="C33" s="56"/>
      <c r="D33" s="57"/>
      <c r="E33" s="58"/>
      <c r="F33" s="62"/>
      <c r="G33" s="63"/>
      <c r="I33" s="65"/>
    </row>
    <row r="34" spans="1:74" s="64" customFormat="1">
      <c r="A34" s="70"/>
      <c r="B34" s="70"/>
      <c r="C34" s="67"/>
      <c r="D34" s="57"/>
      <c r="E34" s="58"/>
      <c r="F34" s="62"/>
      <c r="G34" s="63"/>
      <c r="I34" s="65"/>
    </row>
    <row r="35" spans="1:74" s="27" customFormat="1">
      <c r="A35" s="55"/>
      <c r="B35" s="55"/>
      <c r="C35" s="56"/>
      <c r="D35" s="57"/>
      <c r="E35" s="58"/>
      <c r="F35" s="62"/>
      <c r="G35" s="63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</row>
    <row r="36" spans="1:74" s="64" customFormat="1">
      <c r="A36" s="70"/>
      <c r="B36" s="70"/>
      <c r="C36" s="67"/>
      <c r="D36" s="57"/>
      <c r="E36" s="58"/>
      <c r="F36" s="62"/>
      <c r="G36" s="63"/>
      <c r="I36" s="65"/>
    </row>
    <row r="37" spans="1:74" s="27" customFormat="1">
      <c r="A37" s="55"/>
      <c r="B37" s="55"/>
      <c r="C37" s="56"/>
      <c r="D37" s="57"/>
      <c r="E37" s="58"/>
      <c r="F37" s="62"/>
      <c r="G37" s="63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</row>
    <row r="38" spans="1:74" s="27" customFormat="1">
      <c r="A38" s="23"/>
      <c r="B38" s="23"/>
      <c r="C38" s="26"/>
      <c r="D38" s="25"/>
      <c r="E38" s="31"/>
      <c r="F38" s="32"/>
      <c r="G38" s="33"/>
      <c r="I38" s="34"/>
    </row>
    <row r="39" spans="1:74" s="27" customFormat="1">
      <c r="A39" s="23"/>
      <c r="B39" s="23"/>
      <c r="C39" s="22"/>
      <c r="D39" s="25"/>
      <c r="E39" s="31"/>
      <c r="F39" s="32"/>
      <c r="G39" s="33"/>
    </row>
    <row r="40" spans="1:74" s="64" customFormat="1">
      <c r="A40" s="24"/>
      <c r="B40" s="24"/>
      <c r="C40" s="22"/>
      <c r="D40" s="25"/>
      <c r="E40" s="31"/>
      <c r="F40" s="32"/>
      <c r="G40" s="33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</row>
    <row r="41" spans="1:74" s="27" customFormat="1">
      <c r="A41" s="23"/>
      <c r="B41" s="23"/>
      <c r="C41" s="26"/>
      <c r="D41" s="25"/>
      <c r="E41" s="31"/>
      <c r="F41" s="32"/>
      <c r="G41" s="33"/>
    </row>
    <row r="42" spans="1:74" s="27" customFormat="1">
      <c r="A42" s="24"/>
      <c r="B42" s="24"/>
      <c r="C42" s="22"/>
      <c r="D42" s="25"/>
      <c r="E42" s="31"/>
      <c r="F42" s="32"/>
      <c r="G42" s="33"/>
    </row>
    <row r="43" spans="1:74" s="27" customFormat="1">
      <c r="A43" s="24"/>
      <c r="B43" s="24"/>
      <c r="C43" s="22"/>
      <c r="D43" s="25"/>
      <c r="E43" s="31"/>
      <c r="F43" s="32"/>
      <c r="G43" s="33"/>
    </row>
    <row r="44" spans="1:74" s="27" customFormat="1">
      <c r="A44" s="23"/>
      <c r="B44" s="23"/>
      <c r="C44" s="26"/>
      <c r="D44" s="25"/>
      <c r="E44" s="31"/>
      <c r="F44" s="32"/>
      <c r="G44" s="33"/>
    </row>
    <row r="45" spans="1:74" s="27" customFormat="1">
      <c r="A45" s="24"/>
      <c r="B45" s="24"/>
      <c r="C45" s="22"/>
      <c r="D45" s="25"/>
      <c r="E45" s="31"/>
      <c r="F45" s="32"/>
      <c r="G45" s="33"/>
    </row>
    <row r="46" spans="1:74" s="64" customFormat="1">
      <c r="A46" s="23"/>
      <c r="B46" s="23"/>
      <c r="C46" s="22"/>
      <c r="D46" s="25"/>
      <c r="E46" s="31"/>
      <c r="F46" s="32"/>
      <c r="G46" s="33"/>
      <c r="H46" s="27"/>
      <c r="I46" s="3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</row>
    <row r="47" spans="1:74" s="27" customFormat="1">
      <c r="A47" s="24"/>
      <c r="B47" s="24"/>
      <c r="C47" s="22"/>
      <c r="D47" s="25"/>
      <c r="E47" s="31"/>
      <c r="F47" s="32"/>
      <c r="G47" s="33"/>
    </row>
    <row r="48" spans="1:74" s="27" customFormat="1">
      <c r="A48" s="24"/>
      <c r="B48" s="24"/>
      <c r="C48" s="22"/>
      <c r="D48" s="25"/>
      <c r="E48" s="31"/>
      <c r="F48" s="32"/>
      <c r="G48" s="33"/>
      <c r="I48" s="34"/>
    </row>
    <row r="49" spans="1:74" s="76" customFormat="1">
      <c r="A49" s="24"/>
      <c r="B49" s="23"/>
      <c r="C49" s="22"/>
      <c r="D49" s="25"/>
      <c r="E49" s="31"/>
      <c r="F49" s="32"/>
      <c r="G49" s="33"/>
      <c r="H49" s="36"/>
      <c r="I49" s="77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</row>
    <row r="50" spans="1:74" s="27" customFormat="1">
      <c r="A50" s="35"/>
      <c r="B50" s="35"/>
      <c r="C50" s="22"/>
      <c r="D50" s="25"/>
      <c r="E50" s="31"/>
      <c r="F50" s="47"/>
      <c r="G50" s="48"/>
    </row>
    <row r="51" spans="1:74" s="27" customFormat="1">
      <c r="A51" s="24"/>
      <c r="B51" s="24"/>
      <c r="C51" s="22"/>
      <c r="D51" s="25"/>
      <c r="E51" s="31"/>
      <c r="F51" s="32"/>
      <c r="G51" s="33"/>
    </row>
    <row r="52" spans="1:74" s="64" customFormat="1">
      <c r="A52" s="24"/>
      <c r="B52" s="24"/>
      <c r="C52" s="22"/>
      <c r="D52" s="25"/>
      <c r="E52" s="31"/>
      <c r="F52" s="32"/>
      <c r="G52" s="33"/>
      <c r="H52" s="27"/>
      <c r="I52" s="34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</row>
    <row r="53" spans="1:74" s="37" customFormat="1">
      <c r="A53" s="24"/>
      <c r="B53" s="24"/>
      <c r="C53" s="22"/>
      <c r="D53" s="25"/>
      <c r="E53" s="31"/>
      <c r="F53" s="32"/>
      <c r="G53" s="33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s="37" customFormat="1">
      <c r="A54" s="23"/>
      <c r="B54" s="23"/>
      <c r="C54" s="22"/>
      <c r="D54" s="25"/>
      <c r="E54" s="31"/>
      <c r="F54" s="32"/>
      <c r="G54" s="33"/>
      <c r="H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s="27" customFormat="1">
      <c r="A55" s="24"/>
      <c r="B55" s="24"/>
      <c r="C55" s="22"/>
      <c r="D55" s="25"/>
      <c r="E55" s="31"/>
      <c r="F55" s="32"/>
      <c r="G55" s="33"/>
      <c r="I55" s="37"/>
    </row>
    <row r="56" spans="1:74" s="27" customFormat="1">
      <c r="A56" s="24"/>
      <c r="B56" s="24"/>
      <c r="C56" s="22"/>
      <c r="D56" s="25"/>
      <c r="E56" s="31"/>
      <c r="F56" s="32"/>
      <c r="G56" s="33"/>
    </row>
    <row r="57" spans="1:74" s="27" customFormat="1">
      <c r="A57" s="23"/>
      <c r="B57" s="23"/>
      <c r="C57" s="22"/>
      <c r="D57" s="25"/>
      <c r="E57" s="31"/>
      <c r="F57" s="32"/>
      <c r="G57" s="33"/>
      <c r="I57" s="37"/>
    </row>
    <row r="58" spans="1:74" s="27" customFormat="1">
      <c r="A58" s="23"/>
      <c r="B58" s="23"/>
      <c r="C58" s="26"/>
      <c r="D58" s="25"/>
      <c r="E58" s="31"/>
      <c r="F58" s="32"/>
      <c r="G58" s="33"/>
    </row>
    <row r="59" spans="1:74" s="27" customFormat="1">
      <c r="A59" s="23"/>
      <c r="B59" s="23"/>
      <c r="C59" s="26"/>
      <c r="D59" s="25"/>
      <c r="E59" s="38"/>
      <c r="F59" s="39"/>
      <c r="G59" s="40"/>
      <c r="H59" s="37"/>
      <c r="I59" s="41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</row>
    <row r="60" spans="1:74" s="64" customFormat="1">
      <c r="A60" s="24"/>
      <c r="B60" s="23"/>
      <c r="C60" s="26"/>
      <c r="D60" s="25"/>
      <c r="E60" s="31"/>
      <c r="F60" s="32"/>
      <c r="G60" s="33"/>
      <c r="H60" s="27"/>
      <c r="I60" s="3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</row>
    <row r="61" spans="1:74" s="64" customFormat="1">
      <c r="A61" s="23"/>
      <c r="B61" s="23"/>
      <c r="C61" s="26"/>
      <c r="D61" s="25"/>
      <c r="E61" s="31"/>
      <c r="F61" s="32"/>
      <c r="G61" s="33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</row>
    <row r="62" spans="1:74" s="27" customFormat="1">
      <c r="A62" s="23"/>
      <c r="B62" s="23"/>
      <c r="C62" s="22"/>
      <c r="D62" s="25"/>
      <c r="E62" s="31"/>
      <c r="F62" s="32"/>
      <c r="G62" s="33"/>
      <c r="I62" s="37"/>
    </row>
    <row r="63" spans="1:74" s="64" customFormat="1">
      <c r="A63" s="24"/>
      <c r="B63" s="24"/>
      <c r="C63" s="22"/>
      <c r="D63" s="25"/>
      <c r="E63" s="31"/>
      <c r="F63" s="32"/>
      <c r="G63" s="33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</row>
    <row r="64" spans="1:74" s="75" customFormat="1">
      <c r="A64" s="23"/>
      <c r="B64" s="23"/>
      <c r="C64" s="22"/>
      <c r="D64" s="25"/>
      <c r="E64" s="31"/>
      <c r="F64" s="32"/>
      <c r="G64" s="33"/>
      <c r="H64" s="27"/>
      <c r="I64" s="3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</row>
    <row r="65" spans="1:74" s="27" customFormat="1">
      <c r="A65" s="24"/>
      <c r="C65" s="22"/>
      <c r="D65" s="25"/>
      <c r="E65" s="31"/>
      <c r="F65" s="32"/>
      <c r="G65" s="33"/>
    </row>
    <row r="66" spans="1:74" s="27" customFormat="1">
      <c r="A66" s="23"/>
      <c r="B66" s="23"/>
      <c r="C66" s="22"/>
      <c r="D66" s="25"/>
      <c r="E66" s="31"/>
      <c r="F66" s="32"/>
      <c r="G66" s="33"/>
      <c r="I66" s="37"/>
    </row>
    <row r="67" spans="1:74" s="64" customFormat="1">
      <c r="A67" s="23"/>
      <c r="B67" s="23"/>
      <c r="C67" s="22"/>
      <c r="D67" s="25"/>
      <c r="E67" s="31"/>
      <c r="F67" s="32"/>
      <c r="G67" s="33"/>
      <c r="H67" s="27"/>
      <c r="I67" s="3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</row>
    <row r="68" spans="1:74" s="27" customFormat="1">
      <c r="A68" s="24"/>
      <c r="B68" s="24"/>
      <c r="C68" s="22"/>
      <c r="D68" s="25"/>
      <c r="E68" s="31"/>
      <c r="F68" s="32"/>
      <c r="G68" s="33"/>
    </row>
    <row r="69" spans="1:74" s="27" customFormat="1">
      <c r="A69" s="24"/>
      <c r="B69" s="24"/>
      <c r="C69" s="22"/>
      <c r="D69" s="25"/>
      <c r="E69" s="31"/>
      <c r="F69" s="32"/>
      <c r="G69" s="33"/>
      <c r="I69" s="37"/>
    </row>
    <row r="70" spans="1:74" s="27" customFormat="1">
      <c r="A70" s="24"/>
      <c r="B70" s="24"/>
      <c r="C70" s="22"/>
      <c r="D70" s="25"/>
      <c r="E70" s="31"/>
      <c r="F70" s="32"/>
      <c r="G70" s="33"/>
    </row>
    <row r="71" spans="1:74" s="27" customFormat="1">
      <c r="A71" s="24"/>
      <c r="B71" s="24"/>
      <c r="C71" s="22"/>
      <c r="D71" s="25"/>
      <c r="E71" s="31"/>
      <c r="F71" s="32"/>
      <c r="G71" s="33"/>
    </row>
    <row r="72" spans="1:74" s="64" customFormat="1">
      <c r="A72" s="24"/>
      <c r="B72" s="24"/>
      <c r="C72" s="22"/>
      <c r="D72" s="25"/>
      <c r="E72" s="31"/>
      <c r="F72" s="32"/>
      <c r="G72" s="33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</row>
    <row r="73" spans="1:74" s="27" customFormat="1">
      <c r="A73" s="23"/>
      <c r="B73" s="23"/>
      <c r="C73" s="22"/>
      <c r="D73" s="25"/>
      <c r="E73" s="31"/>
      <c r="F73" s="32"/>
      <c r="G73" s="33"/>
      <c r="I73" s="37"/>
    </row>
    <row r="74" spans="1:74" s="27" customFormat="1">
      <c r="A74" s="49"/>
      <c r="B74" s="49"/>
      <c r="C74" s="50"/>
      <c r="D74" s="25"/>
      <c r="E74" s="51"/>
      <c r="F74" s="52"/>
      <c r="G74" s="5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</row>
    <row r="75" spans="1:74" s="27" customFormat="1">
      <c r="A75" s="24"/>
      <c r="B75" s="24"/>
      <c r="C75" s="22"/>
      <c r="D75" s="25"/>
      <c r="E75" s="31"/>
      <c r="F75" s="32"/>
      <c r="G75" s="33"/>
      <c r="I75" s="34"/>
    </row>
    <row r="76" spans="1:74" s="64" customFormat="1">
      <c r="A76" s="23"/>
      <c r="B76" s="23"/>
      <c r="C76" s="22"/>
      <c r="D76" s="25"/>
      <c r="E76" s="31"/>
      <c r="F76" s="32"/>
      <c r="G76" s="33"/>
      <c r="H76" s="27"/>
      <c r="I76" s="3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</row>
    <row r="77" spans="1:74" s="64" customFormat="1">
      <c r="A77" s="24"/>
      <c r="B77" s="24"/>
      <c r="C77" s="22"/>
      <c r="D77" s="25"/>
      <c r="E77" s="31"/>
      <c r="F77" s="32"/>
      <c r="G77" s="33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</row>
    <row r="78" spans="1:74" s="27" customFormat="1">
      <c r="A78" s="24"/>
      <c r="B78" s="24"/>
      <c r="C78" s="22"/>
      <c r="D78" s="25"/>
      <c r="E78" s="31"/>
      <c r="F78" s="32"/>
      <c r="G78" s="33"/>
      <c r="I78" s="37"/>
    </row>
    <row r="79" spans="1:74" s="27" customFormat="1">
      <c r="A79" s="24"/>
      <c r="B79" s="24"/>
      <c r="C79" s="22"/>
      <c r="D79" s="25"/>
      <c r="E79" s="31"/>
      <c r="F79" s="32"/>
      <c r="G79" s="33"/>
    </row>
    <row r="80" spans="1:74" s="64" customFormat="1">
      <c r="A80" s="24"/>
      <c r="B80" s="24"/>
      <c r="C80" s="22"/>
      <c r="D80" s="25"/>
      <c r="E80" s="31"/>
      <c r="F80" s="32"/>
      <c r="G80" s="33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</row>
    <row r="81" spans="1:74" s="64" customFormat="1">
      <c r="A81" s="24"/>
      <c r="B81" s="24"/>
      <c r="C81" s="22"/>
      <c r="D81" s="25"/>
      <c r="E81" s="31"/>
      <c r="F81" s="32"/>
      <c r="G81" s="33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</row>
    <row r="82" spans="1:74" s="27" customFormat="1">
      <c r="A82" s="23"/>
      <c r="B82" s="23"/>
      <c r="C82" s="26"/>
      <c r="D82" s="25"/>
      <c r="E82" s="38"/>
      <c r="F82" s="39"/>
      <c r="G82" s="40"/>
      <c r="H82" s="37"/>
      <c r="I82" s="41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</row>
    <row r="83" spans="1:74" s="27" customFormat="1">
      <c r="A83" s="24"/>
      <c r="B83" s="24"/>
      <c r="C83" s="22"/>
      <c r="D83" s="25"/>
      <c r="E83" s="31"/>
      <c r="F83" s="32"/>
      <c r="G83" s="33"/>
    </row>
    <row r="84" spans="1:74" s="27" customFormat="1">
      <c r="A84" s="24"/>
      <c r="B84" s="24"/>
      <c r="C84" s="22"/>
      <c r="D84" s="25"/>
      <c r="E84" s="31"/>
      <c r="F84" s="32"/>
      <c r="G84" s="33"/>
    </row>
    <row r="85" spans="1:74" s="64" customFormat="1">
      <c r="A85" s="55"/>
      <c r="B85" s="55"/>
      <c r="C85" s="56"/>
      <c r="D85" s="57"/>
      <c r="E85" s="58"/>
      <c r="F85" s="62"/>
      <c r="G85" s="63"/>
    </row>
    <row r="86" spans="1:74" s="64" customFormat="1">
      <c r="A86" s="24"/>
      <c r="B86" s="23"/>
      <c r="C86" s="26"/>
      <c r="D86" s="25"/>
      <c r="E86" s="31"/>
      <c r="F86" s="32"/>
      <c r="G86" s="33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</row>
    <row r="87" spans="1:74" s="27" customFormat="1">
      <c r="A87" s="24"/>
      <c r="B87" s="24"/>
      <c r="C87" s="26"/>
      <c r="D87" s="25"/>
      <c r="E87" s="31"/>
      <c r="F87" s="32"/>
      <c r="G87" s="33"/>
    </row>
    <row r="88" spans="1:74" s="27" customFormat="1">
      <c r="A88" s="23"/>
      <c r="B88" s="23"/>
      <c r="C88" s="26"/>
      <c r="D88" s="25"/>
      <c r="E88" s="31"/>
      <c r="F88" s="32"/>
      <c r="G88" s="33"/>
    </row>
    <row r="89" spans="1:74" s="27" customFormat="1">
      <c r="A89" s="23"/>
      <c r="B89" s="23"/>
      <c r="C89" s="26"/>
      <c r="D89" s="25"/>
      <c r="E89" s="31"/>
      <c r="F89" s="32"/>
      <c r="G89" s="33"/>
      <c r="I89" s="37"/>
    </row>
    <row r="90" spans="1:74" s="27" customFormat="1">
      <c r="A90" s="23"/>
      <c r="B90" s="23"/>
      <c r="C90" s="26"/>
      <c r="D90" s="25"/>
      <c r="E90" s="31"/>
      <c r="F90" s="32"/>
      <c r="G90" s="33"/>
      <c r="I90" s="37"/>
    </row>
    <row r="91" spans="1:74" s="27" customFormat="1">
      <c r="A91" s="23"/>
      <c r="B91" s="23"/>
      <c r="C91" s="26"/>
      <c r="D91" s="25"/>
      <c r="E91" s="31"/>
      <c r="F91" s="32"/>
      <c r="G91" s="33"/>
      <c r="I91" s="37"/>
    </row>
    <row r="92" spans="1:74" s="27" customFormat="1">
      <c r="A92" s="23"/>
      <c r="B92" s="23"/>
      <c r="C92" s="26"/>
      <c r="D92" s="25"/>
      <c r="E92" s="31"/>
      <c r="F92" s="32"/>
      <c r="G92" s="33"/>
    </row>
    <row r="93" spans="1:74" s="27" customFormat="1">
      <c r="A93" s="23"/>
      <c r="B93" s="23"/>
      <c r="C93" s="22"/>
      <c r="D93" s="25"/>
      <c r="E93" s="31"/>
      <c r="F93" s="32"/>
      <c r="G93" s="33"/>
      <c r="I93" s="37"/>
    </row>
    <row r="94" spans="1:74" s="64" customFormat="1">
      <c r="A94" s="24"/>
      <c r="B94" s="24"/>
      <c r="C94" s="22"/>
      <c r="D94" s="25"/>
      <c r="E94" s="31"/>
      <c r="F94" s="32"/>
      <c r="G94" s="33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</row>
    <row r="95" spans="1:74" s="27" customFormat="1">
      <c r="A95" s="24"/>
      <c r="B95" s="24"/>
      <c r="C95" s="22"/>
      <c r="D95" s="25"/>
      <c r="E95" s="31"/>
      <c r="F95" s="32"/>
      <c r="G95" s="33"/>
    </row>
    <row r="96" spans="1:74" s="64" customFormat="1">
      <c r="A96" s="24"/>
      <c r="B96" s="23"/>
      <c r="C96" s="26"/>
      <c r="D96" s="25"/>
      <c r="E96" s="31"/>
      <c r="F96" s="32"/>
      <c r="G96" s="33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</row>
    <row r="97" spans="1:74" s="27" customFormat="1">
      <c r="A97" s="24"/>
      <c r="B97" s="23"/>
      <c r="C97" s="22"/>
      <c r="D97" s="25"/>
      <c r="E97" s="31"/>
      <c r="F97" s="32"/>
      <c r="G97" s="33"/>
    </row>
    <row r="98" spans="1:74" s="64" customFormat="1">
      <c r="A98" s="24"/>
      <c r="B98" s="24"/>
      <c r="C98" s="22"/>
      <c r="D98" s="25"/>
      <c r="E98" s="31"/>
      <c r="F98" s="32"/>
      <c r="G98" s="33"/>
      <c r="H98" s="27"/>
      <c r="I98" s="34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</row>
    <row r="99" spans="1:74" s="27" customFormat="1">
      <c r="A99" s="23"/>
      <c r="B99" s="23"/>
      <c r="C99" s="22"/>
      <c r="D99" s="25"/>
      <c r="E99" s="31"/>
      <c r="F99" s="32"/>
      <c r="G99" s="33"/>
    </row>
    <row r="100" spans="1:74" s="64" customFormat="1">
      <c r="A100" s="73"/>
      <c r="B100" s="37"/>
      <c r="C100" s="83"/>
      <c r="D100" s="25"/>
      <c r="E100" s="42"/>
      <c r="F100" s="43"/>
      <c r="G100" s="44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</row>
    <row r="101" spans="1:74" s="28" customFormat="1">
      <c r="C101" s="29"/>
      <c r="D101" s="29"/>
      <c r="E101" s="30"/>
      <c r="F101" s="30"/>
      <c r="G101" s="30"/>
    </row>
    <row r="102" spans="1:74" s="28" customFormat="1">
      <c r="C102" s="29"/>
      <c r="D102" s="29"/>
      <c r="E102" s="30"/>
      <c r="F102" s="30"/>
      <c r="G102" s="30"/>
    </row>
    <row r="103" spans="1:74" s="28" customFormat="1">
      <c r="C103" s="29"/>
      <c r="D103" s="29"/>
      <c r="E103" s="30"/>
      <c r="F103" s="30"/>
      <c r="G103" s="30"/>
    </row>
  </sheetData>
  <phoneticPr fontId="5" type="noConversion"/>
  <conditionalFormatting sqref="G3:G100">
    <cfRule type="cellIs" dxfId="47" priority="3" stopIfTrue="1" operator="equal">
      <formula>#REF!</formula>
    </cfRule>
  </conditionalFormatting>
  <conditionalFormatting sqref="E3:E100">
    <cfRule type="cellIs" dxfId="46" priority="1" stopIfTrue="1" operator="lessThan">
      <formula>0.1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 and Novice Classes</vt:lpstr>
      <vt:lpstr>Street Tire Class</vt:lpstr>
      <vt:lpstr>Ladies Class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Whitney</dc:creator>
  <cp:lastModifiedBy>GRR Solo</cp:lastModifiedBy>
  <cp:lastPrinted>2009-09-27T16:21:30Z</cp:lastPrinted>
  <dcterms:created xsi:type="dcterms:W3CDTF">2002-05-01T21:28:30Z</dcterms:created>
  <dcterms:modified xsi:type="dcterms:W3CDTF">2011-04-14T02:51:04Z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547934299</vt:i4>
  </property>
  <property fmtid="{D5CDD505-2E9C-101B-9397-08002B2CF9AE}" pid="3" name="_EmailSubject">
    <vt:lpwstr>050424_timesheets.xls</vt:lpwstr>
  </property>
  <property fmtid="{D5CDD505-2E9C-101B-9397-08002B2CF9AE}" pid="4" name="_AuthorEmail">
    <vt:lpwstr>mmwhitney@mchsi.com</vt:lpwstr>
  </property>
  <property fmtid="{D5CDD505-2E9C-101B-9397-08002B2CF9AE}" pid="5" name="_AuthorEmailDisplayName">
    <vt:lpwstr>Mike Whitney</vt:lpwstr>
  </property>
  <property fmtid="{D5CDD505-2E9C-101B-9397-08002B2CF9AE}" pid="6" name="_ReviewingToolsShownOnce">
    <vt:lpwstr/>
  </property>
</Properties>
</file>